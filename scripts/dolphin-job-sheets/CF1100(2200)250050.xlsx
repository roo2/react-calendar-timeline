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54F673C-5E87-4C24-B4D7-A2E10DFC36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<sst xmlns="http://schemas.openxmlformats.org/spreadsheetml/2006/main" count="225" uniqueCount="167">
  <si>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</si>
  <si>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</si>
  <si>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</si>
  <si>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</si>
  <si>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</si>
  <si>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</si>
  <si>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</si>
  <si>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</si>
  <si>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</si>
  <si>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</si>
  <si>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</si>
  <si>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</si>
  <si>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</si>
  <si>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</si>
  <si>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</si>
  <si>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</si>
  <si>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</si>
  <si>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</si>
  <si>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</si>
  <si>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</si>
  <si>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</si>
  <si>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</si>
  <si>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</si>
  <si>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</si>
  <si>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</si>
  <si>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</si>
  <si>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</si>
  <si>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</si>
  <si>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</si>
  <si>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</si>
  <si>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</si>
  <si>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</si>
  <si>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</si>
  <si>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</si>
  <si>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</si>
  <si>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</si>
  <si>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</si>
  <si>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</si>
  <si>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</si>
  <si>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</si>
  <si>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</si>
  <si>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</si>
  <si>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</si>
  <si>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</si>
  <si>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</si>
  <si>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</si>
  <si>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</si>
  <si>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</si>
  <si>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</si>
  <si>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</si>
  <si>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</si>
  <si>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</si>
  <si>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</si>
  <si>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</si>
  <si>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</si>
  <si>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</si>
  <si>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</si>
  <si>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</si>
  <si>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</si>
  <si>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</si>
  <si>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</si>
  <si>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</si>
  <si>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</si>
  <si>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</si>
  <si>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</si>
  <si>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</si>
  <si>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</si>
  <si>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</si>
  <si>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</si>
  <si>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</si>
  <si>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</si>
  <si>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</si>
  <si>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</si>
  <si>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</si>
  <si>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</si>
  <si>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</si>
  <si>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</si>
  <si>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</si>
  <si>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</si>
  <si>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</si>
  <si>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</si>
  <si>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</si>
  <si>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</si>
  <si>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</si>
  <si>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</si>
  <si>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</si>
  <si>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</si>
  <si>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</si>
  <si>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</si>
  <si>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</si>
  <si>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</si>
  <si>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</si>
  <si>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</si>
  <si>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</si>
  <si>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</si>
  <si>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</si>
  <si>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</si>
  <si>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</si>
  <si>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</si>
  <si>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</si>
  <si>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</si>
  <si>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</si>
  <si>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</si>
  <si>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</si>
  <si>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</si>
  <si>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</si>
  <si>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</si>
  <si>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</si>
  <si>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</si>
  <si>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</si>
  <si>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</si>
  <si>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</si>
  <si>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</si>
  <si>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</si>
  <si>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</si>
  <si>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</si>
  <si>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</si>
  <si>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</si>
  <si>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</si>
  <si>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</si>
  <si>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</si>
  <si>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</si>
  <si>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</si>
  <si>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</si>
  <si>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</si>
  <si>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</si>
  <si>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</si>
  <si>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</si>
  <si>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</si>
  <si>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</si>
  <si>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</si>
  <si>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</si>
  <si>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</si>
  <si>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</si>
  <si>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</si>
  <si>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</si>
  <si>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</si>
  <si>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</si>
  <si>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</si>
  <si>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</si>
  <si>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</si>
  <si>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</si>
  <si>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</si>
  <si>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</si>
  <si>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</si>
  <si>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</si>
  <si>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</si>
  <si>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</si>
  <si>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</si>
  <si>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</si>
  <si>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</si>
  <si>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</si>
  <si>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</si>
  <si>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</si>
  <si>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</si>
  <si>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</si>
  <si>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</si>
  <si>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</si>
  <si>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</si>
  <si>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</si>
  <si>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</si>
  <si>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</si>
  <si>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</si>
  <si>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+/- 3mm</t>
  </si>
  <si>
    <t>RUN AT 50UM</t>
  </si>
  <si>
    <t>GEN FAB</t>
  </si>
  <si>
    <t>MUST BE CORRECT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</si>
</sst>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8" borderId="13" applyNumberFormat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14" fontId="17" fillId="5" borderId="13" xfId="2" applyNumberFormat="1" applyFont="1" applyFill="1" applyAlignment="1" applyProtection="1">
      <alignment horizontal="center"/>
      <protection locked="0"/>
    </xf>
  </cellXfs>
  <cellStyles count="3">
    <cellStyle name="Calculation" xfId="2" builtinId="22"/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CFR1100(2200)50</v>
      </c>
      <c r="C1" s="110"/>
      <c r="D1" s="111"/>
      <c r="E1" s="12" t="s">
        <v>55</v>
      </c>
      <c r="F1" s="121" t="s">
        <v>165</v>
      </c>
      <c r="G1" s="121"/>
      <c r="H1" s="122"/>
      <c r="I1" s="12" t="s">
        <v>148</v>
      </c>
      <c r="J1" s="123">
        <f ca="1">TODAY()</f>
        <v>44620</v>
      </c>
      <c r="K1" s="123"/>
      <c r="L1" s="124"/>
    </row>
    <row r="2" spans="1:14" ht="20.100000000000001" customHeight="1" x14ac:dyDescent="0.35">
      <c r="A2" s="12" t="s">
        <v>94</v>
      </c>
      <c r="B2" s="101" t="str">
        <f>IF(B7="Tube",(ROUNDUP(E11,0)&amp;"KG"),(ROUNDUP(H11,0)&amp;"M"))</f>
        <v>250M</v>
      </c>
      <c r="C2" s="101"/>
      <c r="D2" s="102"/>
      <c r="E2" s="12" t="s">
        <v>56</v>
      </c>
      <c r="F2" s="55">
        <v>942642</v>
      </c>
      <c r="G2" s="55"/>
      <c r="H2" s="56"/>
      <c r="I2" s="12" t="s">
        <v>57</v>
      </c>
      <c r="J2" s="134">
        <v>44643</v>
      </c>
      <c r="K2" s="134"/>
      <c r="L2" s="134"/>
    </row>
    <row r="3" spans="1:14" ht="20.100000000000001" customHeight="1" x14ac:dyDescent="0.25">
      <c r="A3" s="112" t="s">
        <v>166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</row>
    <row r="4" spans="1:14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</row>
    <row r="5" spans="1:14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</row>
    <row r="6" spans="1:14" ht="20.100000000000001" customHeight="1" x14ac:dyDescent="0.25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</row>
    <row r="7" spans="1:14" ht="20.100000000000001" customHeight="1" x14ac:dyDescent="0.3">
      <c r="A7" s="12" t="s">
        <v>158</v>
      </c>
      <c r="B7" s="55" t="s">
        <v>161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5" t="s">
        <v>146</v>
      </c>
      <c r="K7" s="105"/>
      <c r="L7" s="86"/>
    </row>
    <row r="8" spans="1:14" ht="20.100000000000001" customHeight="1" x14ac:dyDescent="0.25">
      <c r="A8" s="13" t="s">
        <v>14</v>
      </c>
      <c r="B8" s="75">
        <v>1100</v>
      </c>
      <c r="C8" s="76"/>
      <c r="D8" s="13" t="str">
        <f>IF(B7="Tube","Gusset","Centrefold")</f>
        <v>Centrefold</v>
      </c>
      <c r="E8" s="106">
        <f>IF(B7="Cont Centrefold",B8*2,"")</f>
        <v>2200</v>
      </c>
      <c r="F8" s="107"/>
      <c r="G8" s="13" t="s">
        <v>50</v>
      </c>
      <c r="H8" s="75">
        <v>50</v>
      </c>
      <c r="I8" s="76"/>
      <c r="J8" s="12" t="s">
        <v>52</v>
      </c>
      <c r="K8" s="110" t="str">
        <f>IF(ISNUMBER(SEARCH("+",E8,1)),"Gusset Tube","Layflat Tube")</f>
        <v>Layflat Tube</v>
      </c>
      <c r="L8" s="111"/>
    </row>
    <row r="9" spans="1:14" ht="20.100000000000001" customHeight="1" x14ac:dyDescent="0.3">
      <c r="A9" s="14" t="s">
        <v>46</v>
      </c>
      <c r="B9" s="93" t="s">
        <v>163</v>
      </c>
      <c r="C9" s="94"/>
      <c r="D9" s="126" t="str">
        <f>IF(K10="Middle","RUN 2 UP",IF(AND(B7="Cont Centrefold",B8=380),"RUN 2 UP",""))</f>
        <v/>
      </c>
      <c r="E9" s="127"/>
      <c r="F9" s="128"/>
      <c r="G9" s="14" t="s">
        <v>46</v>
      </c>
      <c r="H9" s="93" t="s">
        <v>164</v>
      </c>
      <c r="I9" s="94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7</v>
      </c>
      <c r="C10" s="56"/>
      <c r="D10" s="42" t="s">
        <v>104</v>
      </c>
      <c r="E10" s="97">
        <f>E11*B10</f>
        <v>178.24074074074073</v>
      </c>
      <c r="F10" s="98"/>
      <c r="G10" s="12" t="s">
        <v>51</v>
      </c>
      <c r="H10" s="101">
        <f>H11*B10</f>
        <v>1750</v>
      </c>
      <c r="I10" s="102"/>
      <c r="J10" s="12" t="s">
        <v>39</v>
      </c>
      <c r="K10" s="55" t="s">
        <v>40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>CF Rolls</v>
      </c>
      <c r="B11" s="95">
        <f>IF(AND(B7="Cont Centrefold",D9="RUN 2 UP"),B10*2,IF(B7="Cont Centrefold",B10,IF(B7="Cont Sheet Roll",B10*2,"")))</f>
        <v>7</v>
      </c>
      <c r="C11" s="96"/>
      <c r="D11" s="51" t="s">
        <v>105</v>
      </c>
      <c r="E11" s="99">
        <f>IF(D9="RUN 2 UP",(B8*H8*H11/540000)*2,(B8*H8*H11/540000))</f>
        <v>25.462962962962962</v>
      </c>
      <c r="F11" s="100"/>
      <c r="G11" s="51" t="s">
        <v>13</v>
      </c>
      <c r="H11" s="103">
        <v>250</v>
      </c>
      <c r="I11" s="104"/>
      <c r="J11" s="51" t="s">
        <v>48</v>
      </c>
      <c r="K11" s="108" t="s">
        <v>42</v>
      </c>
      <c r="L11" s="109"/>
      <c r="N11"/>
    </row>
    <row r="12" spans="1:14" ht="20.100000000000001" customHeight="1" x14ac:dyDescent="0.25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100000000000001" customHeight="1" x14ac:dyDescent="0.25">
      <c r="A15" s="89" t="s">
        <v>70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133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7</v>
      </c>
      <c r="G16" s="110"/>
      <c r="H16" s="111"/>
      <c r="I16" s="12" t="s">
        <v>74</v>
      </c>
      <c r="J16" s="55"/>
      <c r="K16" s="55"/>
      <c r="L16" s="56"/>
    </row>
    <row r="17" spans="1:12" ht="20.100000000000001" customHeight="1" x14ac:dyDescent="0.25">
      <c r="A17" s="130" t="s">
        <v>149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2"/>
    </row>
    <row r="18" spans="1:12" ht="20.100000000000001" customHeight="1" x14ac:dyDescent="0.25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100000000000001" customHeight="1" x14ac:dyDescent="0.25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100000000000001" customHeight="1" x14ac:dyDescent="0.25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100000000000001" customHeight="1" x14ac:dyDescent="0.25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100000000000001" customHeight="1" x14ac:dyDescent="0.25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100000000000001" customHeight="1" x14ac:dyDescent="0.25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100000000000001" customHeight="1" x14ac:dyDescent="0.25">
      <c r="A24" s="87" t="str">
        <f>(IF(E7="NATURAL","",E7))</f>
        <v/>
      </c>
      <c r="B24" s="87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7"/>
      <c r="E24" s="68"/>
      <c r="F24" s="69"/>
      <c r="G24" s="11" t="s">
        <v>81</v>
      </c>
      <c r="H24" s="35"/>
      <c r="I24" s="73"/>
      <c r="J24" s="74"/>
      <c r="K24" s="73"/>
      <c r="L24" s="74"/>
    </row>
    <row r="25" spans="1:12" ht="20.100000000000001" customHeight="1" x14ac:dyDescent="0.25">
      <c r="A25" s="87"/>
      <c r="B25" s="87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100000000000001" customHeight="1" x14ac:dyDescent="0.25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29" t="s">
        <v>103</v>
      </c>
      <c r="H27" s="129"/>
      <c r="I27" s="129" t="s">
        <v>102</v>
      </c>
      <c r="J27" s="12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5"/>
      <c r="H28" s="125"/>
      <c r="I28" s="125"/>
      <c r="J28" s="125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5"/>
      <c r="H29" s="125"/>
      <c r="I29" s="125"/>
      <c r="J29" s="125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3" sqref="A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44648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44641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136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144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137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138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139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140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141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142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145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143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143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7C7F6BE-9F68-4940-8071-72082BD01C99}"/>
</file>

<file path=customXml/itemProps2.xml><?xml version="1.0" encoding="utf-8"?>
<ds:datastoreItem xmlns:ds="http://schemas.openxmlformats.org/officeDocument/2006/customXml" ds:itemID="{FAC996AA-300C-46C8-B813-36AD529D34EB}"/>
</file>

<file path=customXml/itemProps3.xml><?xml version="1.0" encoding="utf-8"?>
<ds:datastoreItem xmlns:ds="http://schemas.openxmlformats.org/officeDocument/2006/customXml" ds:itemID="{FC4CE83C-FD91-4B3D-9A12-6D266EBC7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2022-02-23T01:16:07Z</cp:lastPrinted>
  <dcterms:created xsi:type="dcterms:W3CDTF">2019-11-27T23:28:06Z</dcterms:created>
  <dcterms:modified xsi:type="dcterms:W3CDTF">2022-02-28T01:52:50Z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