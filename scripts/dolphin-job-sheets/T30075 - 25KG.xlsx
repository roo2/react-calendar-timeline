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6D02EB7-2886-42FE-BFC1-841B3D8ADF0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<sst xmlns="http://schemas.openxmlformats.org/spreadsheetml/2006/main" count="227" uniqueCount="167">
  <si>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</si>
  <si>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</si>
  <si>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</si>
  <si>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</si>
  <si>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</si>
  <si>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</si>
  <si>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</si>
  <si>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</si>
  <si>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</si>
  <si>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</si>
  <si>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</si>
  <si>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</si>
  <si>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</si>
  <si>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</si>
  <si>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</si>
  <si>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</si>
  <si>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</si>
  <si>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</si>
  <si>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</si>
  <si>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</si>
  <si>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</si>
  <si>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</si>
  <si>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</si>
  <si>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</si>
  <si>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</si>
  <si>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</si>
  <si>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</si>
  <si>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</si>
  <si>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</si>
  <si>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</si>
  <si>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</si>
  <si>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</si>
  <si>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</si>
  <si>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</si>
  <si>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</si>
  <si>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</si>
  <si>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</si>
  <si>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</si>
  <si>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</si>
  <si>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</si>
  <si>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</si>
  <si>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</si>
  <si>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</si>
  <si>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</si>
  <si>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</si>
  <si>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</si>
  <si>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</si>
  <si>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</si>
  <si>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</si>
  <si>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</si>
  <si>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</si>
  <si>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</si>
  <si>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</si>
  <si>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</si>
  <si>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</si>
  <si>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</si>
  <si>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</si>
  <si>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</si>
  <si>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</si>
  <si>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</si>
  <si>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</si>
  <si>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</si>
  <si>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</si>
  <si>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</si>
  <si>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</si>
  <si>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</si>
  <si>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</si>
  <si>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</si>
  <si>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</si>
  <si>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</si>
  <si>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</si>
  <si>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</si>
  <si>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</si>
  <si>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</si>
  <si>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</si>
  <si>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</si>
  <si>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</si>
  <si>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</si>
  <si>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</si>
  <si>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</si>
  <si>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</si>
  <si>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</si>
  <si>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</si>
  <si>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</si>
  <si>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</si>
  <si>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</si>
  <si>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</si>
  <si>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</si>
  <si>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</si>
  <si>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</si>
  <si>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</si>
  <si>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</si>
  <si>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</si>
  <si>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</si>
  <si>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</si>
  <si>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</si>
  <si>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</si>
  <si>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</si>
  <si>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</si>
  <si>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</si>
  <si>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</si>
  <si>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</si>
  <si>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</si>
  <si>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</si>
  <si>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</si>
  <si>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</si>
  <si>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</si>
  <si>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</si>
  <si>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</si>
  <si>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</si>
  <si>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</si>
  <si>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</si>
  <si>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</si>
  <si>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</si>
  <si>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</si>
  <si>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</si>
  <si>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</si>
  <si>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</si>
  <si>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</si>
  <si>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</si>
  <si>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</si>
  <si>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</si>
  <si>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</si>
  <si>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</si>
  <si>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</si>
  <si>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</si>
  <si>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</si>
  <si>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</si>
  <si>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</si>
  <si>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</si>
  <si>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</si>
  <si>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</si>
  <si>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</si>
  <si>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</si>
  <si>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</si>
  <si>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</si>
  <si>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</si>
  <si>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</si>
  <si>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</si>
  <si>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</si>
  <si>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</si>
  <si>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</si>
  <si>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</si>
  <si>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</si>
  <si>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</si>
  <si>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</si>
  <si>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</si>
  <si>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</si>
  <si>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</si>
  <si>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</si>
  <si>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</si>
  <si>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</si>
  <si>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</si>
  <si>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</si>
  <si>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</si>
  <si>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</si>
  <si>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</si>
  <si>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</si>
  <si>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</si>
  <si>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</si>
  <si>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</si>
  <si>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</si>
  <si>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</si>
  <si>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</si>
  <si>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ANTIBLOCK</t>
  </si>
  <si>
    <t>#4</t>
  </si>
  <si>
    <t>PROTECTIVE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</si>
</sst>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T30075FALSE</v>
      </c>
      <c r="C1" s="101"/>
      <c r="D1" s="102"/>
      <c r="E1" s="10" t="s">
        <v>55</v>
      </c>
      <c r="F1" s="46" t="s">
        <v>166</v>
      </c>
      <c r="G1" s="46"/>
      <c r="H1" s="47"/>
      <c r="I1" s="10" t="s">
        <v>148</v>
      </c>
      <c r="J1" s="112">
        <f ca="1">TODAY()</f>
        <v>45974</v>
      </c>
      <c r="K1" s="112"/>
      <c r="L1" s="113"/>
    </row>
    <row r="2" spans="1:14" ht="20.149999999999999" customHeight="1" x14ac:dyDescent="0.8">
      <c r="A2" s="10" t="s">
        <v>94</v>
      </c>
      <c r="B2" s="92" t="str">
        <f>IF(B7="Tube",(ROUNDUP(E11,0)&amp;"KG"),(ROUNDUP(H11,0)&amp;"M"))</f>
        <v>25KG</v>
      </c>
      <c r="C2" s="92"/>
      <c r="D2" s="93"/>
      <c r="E2" s="10" t="s">
        <v>56</v>
      </c>
      <c r="F2" s="46">
        <v>949452</v>
      </c>
      <c r="G2" s="46"/>
      <c r="H2" s="47"/>
      <c r="I2" s="10" t="s">
        <v>57</v>
      </c>
      <c r="J2" s="114" t="s">
        <v>162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0" t="s">
        <v>158</v>
      </c>
      <c r="B7" s="46" t="s">
        <v>159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1" t="s">
        <v>14</v>
      </c>
      <c r="B8" s="68">
        <v>300</v>
      </c>
      <c r="C8" s="69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8">
        <v>75</v>
      </c>
      <c r="I8" s="69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2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2" t="s">
        <v>46</v>
      </c>
      <c r="H9" s="84" t="s">
        <v>146</v>
      </c>
      <c r="I9" s="85"/>
      <c r="J9" s="10" t="s">
        <v>53</v>
      </c>
      <c r="K9" s="46" t="s">
        <v>28</v>
      </c>
      <c r="L9" s="47"/>
    </row>
    <row r="10" spans="1:14" ht="20.149999999999999" customHeight="1" x14ac:dyDescent="0.8">
      <c r="A10" s="10" t="s">
        <v>49</v>
      </c>
      <c r="B10" s="46">
        <v>8</v>
      </c>
      <c r="C10" s="47"/>
      <c r="D10" s="35" t="s">
        <v>104</v>
      </c>
      <c r="E10" s="88">
        <f>E11*B10</f>
        <v>200</v>
      </c>
      <c r="F10" s="89"/>
      <c r="G10" s="10" t="s">
        <v>51</v>
      </c>
      <c r="H10" s="92">
        <f>H11*B10</f>
        <v>4800</v>
      </c>
      <c r="I10" s="93"/>
      <c r="J10" s="10" t="s">
        <v>39</v>
      </c>
      <c r="K10" s="46" t="s">
        <v>42</v>
      </c>
      <c r="L10" s="47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0">
        <v>25</v>
      </c>
      <c r="F11" s="91"/>
      <c r="G11" s="41" t="s">
        <v>13</v>
      </c>
      <c r="H11" s="94">
        <f>E11*540000/B8/H8</f>
        <v>600</v>
      </c>
      <c r="I11" s="95"/>
      <c r="J11" s="41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49999999999999" customHeight="1" x14ac:dyDescent="0.9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0" t="s">
        <v>71</v>
      </c>
      <c r="B16" s="46" t="s">
        <v>75</v>
      </c>
      <c r="C16" s="46"/>
      <c r="D16" s="47"/>
      <c r="E16" s="10" t="s">
        <v>72</v>
      </c>
      <c r="F16" s="101">
        <f>B10</f>
        <v>8</v>
      </c>
      <c r="G16" s="101"/>
      <c r="H16" s="102"/>
      <c r="I16" s="10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9" t="s">
        <v>76</v>
      </c>
      <c r="H19" s="30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9" t="s">
        <v>77</v>
      </c>
      <c r="H20" s="30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9" t="s">
        <v>78</v>
      </c>
      <c r="H21" s="30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9" t="s">
        <v>79</v>
      </c>
      <c r="H22" s="30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9" t="s">
        <v>80</v>
      </c>
      <c r="H23" s="30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9" t="s">
        <v>81</v>
      </c>
      <c r="H24" s="30"/>
      <c r="I24" s="66"/>
      <c r="J24" s="67"/>
      <c r="K24" s="66"/>
      <c r="L24" s="67"/>
    </row>
    <row r="25" spans="1:12" ht="20.149999999999999" customHeight="1" x14ac:dyDescent="0.75">
      <c r="A25" s="78" t="s">
        <v>164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9" t="s">
        <v>82</v>
      </c>
      <c r="H25" s="30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9" t="s">
        <v>103</v>
      </c>
      <c r="H27" s="119"/>
      <c r="I27" s="119" t="s">
        <v>102</v>
      </c>
      <c r="J27" s="119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165</v>
      </c>
      <c r="C28" s="6"/>
      <c r="D28" s="22">
        <v>25.8</v>
      </c>
      <c r="E28" s="44">
        <v>2.6</v>
      </c>
      <c r="F28" s="6"/>
      <c r="G28" s="115"/>
      <c r="H28" s="115"/>
      <c r="I28" s="115"/>
      <c r="J28" s="11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115"/>
      <c r="H29" s="115"/>
      <c r="I29" s="115"/>
      <c r="J29" s="115"/>
      <c r="K29" s="6"/>
      <c r="L29" s="22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46004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45995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434DCA9-857C-4018-9947-9C682C1DB3D7}"/>
</file>

<file path=customXml/itemProps2.xml><?xml version="1.0" encoding="utf-8"?>
<ds:datastoreItem xmlns:ds="http://schemas.openxmlformats.org/officeDocument/2006/customXml" ds:itemID="{BF3B10BB-5B68-4294-A806-8B6B72AD3048}"/>
</file>

<file path=customXml/itemProps3.xml><?xml version="1.0" encoding="utf-8"?>
<ds:datastoreItem xmlns:ds="http://schemas.openxmlformats.org/officeDocument/2006/customXml" ds:itemID="{F7650B0A-2E7C-4C6D-AC68-F0A8BD1A8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2025-11-13T02:40:25Z</cp:lastPrinted>
  <dcterms:created xsi:type="dcterms:W3CDTF">2019-11-27T23:28:06Z</dcterms:created>
  <dcterms:modified xsi:type="dcterms:W3CDTF">2025-11-13T02:50:03Z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