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4A480C4-EE5D-4B93-B8BE-F247C462D5D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<sst xmlns="http://schemas.openxmlformats.org/spreadsheetml/2006/main" count="226" uniqueCount="168">
  <si>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</si>
  <si>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</si>
  <si>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</si>
  <si>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</si>
  <si>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</si>
  <si>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</si>
  <si>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</si>
  <si>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</si>
  <si>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</si>
  <si>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</si>
  <si>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</si>
  <si>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</si>
  <si>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</si>
  <si>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</si>
  <si>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</si>
  <si>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</si>
  <si>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</si>
  <si>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</si>
  <si>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</si>
  <si>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</si>
  <si>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</si>
  <si>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</si>
  <si>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</si>
  <si>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</si>
  <si>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</si>
  <si>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</si>
  <si>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</si>
  <si>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</si>
  <si>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</si>
  <si>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</si>
  <si>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</si>
  <si>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</si>
  <si>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</si>
  <si>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</si>
  <si>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</si>
  <si>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</si>
  <si>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</si>
  <si>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</si>
  <si>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</si>
  <si>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</si>
  <si>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</si>
  <si>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</si>
  <si>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</si>
  <si>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</si>
  <si>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</si>
  <si>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</si>
  <si>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</si>
  <si>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</si>
  <si>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</si>
  <si>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</si>
  <si>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</si>
  <si>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</si>
  <si>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</si>
  <si>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</si>
  <si>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</si>
  <si>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</si>
  <si>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</si>
  <si>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</si>
  <si>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</si>
  <si>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</si>
  <si>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</si>
  <si>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</si>
  <si>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</si>
  <si>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</si>
  <si>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</si>
  <si>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</si>
  <si>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</si>
  <si>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</si>
  <si>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</si>
  <si>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</si>
  <si>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</si>
  <si>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</si>
  <si>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</si>
  <si>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</si>
  <si>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</si>
  <si>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</si>
  <si>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</si>
  <si>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</si>
  <si>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</si>
  <si>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</si>
  <si>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</si>
  <si>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</si>
  <si>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</si>
  <si>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</si>
  <si>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</si>
  <si>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</si>
  <si>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</si>
  <si>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</si>
  <si>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</si>
  <si>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</si>
  <si>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</si>
  <si>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</si>
  <si>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</si>
  <si>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</si>
  <si>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</si>
  <si>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</si>
  <si>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</si>
  <si>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</si>
  <si>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</si>
  <si>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</si>
  <si>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</si>
  <si>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</si>
  <si>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</si>
  <si>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</si>
  <si>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</si>
  <si>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</si>
  <si>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</si>
  <si>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</si>
  <si>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</si>
  <si>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</si>
  <si>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</si>
  <si>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</si>
  <si>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</si>
  <si>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</si>
  <si>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</si>
  <si>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</si>
  <si>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</si>
  <si>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</si>
  <si>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</si>
  <si>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</si>
  <si>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</si>
  <si>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</si>
  <si>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</si>
  <si>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</si>
  <si>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</si>
  <si>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</si>
  <si>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</si>
  <si>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</si>
  <si>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</si>
  <si>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</si>
  <si>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</si>
  <si>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</si>
  <si>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</si>
  <si>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</si>
  <si>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</si>
  <si>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</si>
  <si>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</si>
  <si>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</si>
  <si>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</si>
  <si>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</si>
  <si>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</si>
  <si>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</si>
  <si>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</si>
  <si>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</si>
  <si>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</si>
  <si>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</si>
  <si>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</si>
  <si>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</si>
  <si>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</si>
  <si>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</si>
  <si>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</si>
  <si>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</si>
  <si>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</si>
  <si>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</si>
  <si>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</si>
  <si>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</si>
  <si>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</si>
  <si>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</si>
  <si>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</si>
  <si>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</si>
  <si>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</si>
  <si>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</si>
  <si>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</si>
  <si>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</si>
  <si>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DATE</t>
  </si>
  <si>
    <t>NOT OVER</t>
  </si>
  <si>
    <t>#3</t>
  </si>
  <si>
    <t>SEDL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</si>
</sst>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10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T250150</v>
      </c>
      <c r="C1" s="101"/>
      <c r="D1" s="102"/>
      <c r="E1" s="10" t="s">
        <v>55</v>
      </c>
      <c r="F1" s="46" t="s">
        <v>167</v>
      </c>
      <c r="G1" s="46"/>
      <c r="H1" s="47"/>
      <c r="I1" s="10" t="s">
        <v>148</v>
      </c>
      <c r="J1" s="112">
        <f ca="1">TODAY()</f>
        <v>45793</v>
      </c>
      <c r="K1" s="112"/>
      <c r="L1" s="113"/>
    </row>
    <row r="2" spans="1:14" ht="20.149999999999999" customHeight="1" x14ac:dyDescent="0.8">
      <c r="A2" s="10" t="s">
        <v>94</v>
      </c>
      <c r="B2" s="92" t="str">
        <f>IF(B7="Tube",(ROUNDUP(E11,0)&amp;"KG"),(ROUNDUP(H11,0)&amp;"M"))</f>
        <v>10KG</v>
      </c>
      <c r="C2" s="92"/>
      <c r="D2" s="93"/>
      <c r="E2" s="10" t="s">
        <v>56</v>
      </c>
      <c r="F2" s="46">
        <v>949709</v>
      </c>
      <c r="G2" s="46"/>
      <c r="H2" s="47"/>
      <c r="I2" s="10" t="s">
        <v>164</v>
      </c>
      <c r="J2" s="114" t="s">
        <v>162</v>
      </c>
      <c r="K2" s="114"/>
      <c r="L2" s="115"/>
    </row>
    <row r="3" spans="1:14" ht="20.149999999999999" customHeight="1" x14ac:dyDescent="0.7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0" t="s">
        <v>158</v>
      </c>
      <c r="B7" s="46" t="s">
        <v>159</v>
      </c>
      <c r="C7" s="47"/>
      <c r="D7" s="10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1" t="s">
        <v>14</v>
      </c>
      <c r="B8" s="68">
        <v>250</v>
      </c>
      <c r="C8" s="69"/>
      <c r="D8" s="11" t="str">
        <f>IF(B7="Tube","Gusset","Centrefold")</f>
        <v>Gusset</v>
      </c>
      <c r="E8" s="97" t="str">
        <f>IF(B7="Cont Centrefold",B8*2,"")</f>
        <v/>
      </c>
      <c r="F8" s="98"/>
      <c r="G8" s="11" t="s">
        <v>50</v>
      </c>
      <c r="H8" s="68">
        <v>150</v>
      </c>
      <c r="I8" s="69"/>
      <c r="J8" s="10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2" t="s">
        <v>46</v>
      </c>
      <c r="B9" s="84" t="s">
        <v>146</v>
      </c>
      <c r="C9" s="85"/>
      <c r="D9" s="117" t="str">
        <f>IF(K10="Middle","RUN 2 UP",IF(AND(B7="Cont Centrefold",B8=380),"RUN 2 UP",""))</f>
        <v/>
      </c>
      <c r="E9" s="118"/>
      <c r="F9" s="119"/>
      <c r="G9" s="12" t="s">
        <v>46</v>
      </c>
      <c r="H9" s="84" t="s">
        <v>165</v>
      </c>
      <c r="I9" s="85"/>
      <c r="J9" s="10" t="s">
        <v>53</v>
      </c>
      <c r="K9" s="46" t="s">
        <v>28</v>
      </c>
      <c r="L9" s="47"/>
    </row>
    <row r="10" spans="1:14" ht="20.149999999999999" customHeight="1" x14ac:dyDescent="0.8">
      <c r="A10" s="10" t="s">
        <v>49</v>
      </c>
      <c r="B10" s="46">
        <v>5</v>
      </c>
      <c r="C10" s="47"/>
      <c r="D10" s="35" t="s">
        <v>104</v>
      </c>
      <c r="E10" s="88">
        <f>E11*B10</f>
        <v>50</v>
      </c>
      <c r="F10" s="89"/>
      <c r="G10" s="10" t="s">
        <v>51</v>
      </c>
      <c r="H10" s="92">
        <f>H11*B10</f>
        <v>720</v>
      </c>
      <c r="I10" s="93"/>
      <c r="J10" s="10" t="s">
        <v>39</v>
      </c>
      <c r="K10" s="46" t="s">
        <v>42</v>
      </c>
      <c r="L10" s="47"/>
    </row>
    <row r="11" spans="1:14" s="42" customFormat="1" ht="20.149999999999999" customHeight="1" x14ac:dyDescent="0.8">
      <c r="A11" s="41" t="str">
        <f>IF(B7="Cont Sheet Roll","Sheet Rolls",IF(B7="Cont Centrefold","CF Rolls",""))</f>
        <v/>
      </c>
      <c r="B11" s="86"/>
      <c r="C11" s="87"/>
      <c r="D11" s="41" t="s">
        <v>105</v>
      </c>
      <c r="E11" s="90">
        <v>10</v>
      </c>
      <c r="F11" s="91"/>
      <c r="G11" s="41" t="s">
        <v>13</v>
      </c>
      <c r="H11" s="94">
        <f>E11*540000/B8/H8</f>
        <v>144</v>
      </c>
      <c r="I11" s="95"/>
      <c r="J11" s="41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0" t="s">
        <v>59</v>
      </c>
      <c r="B13" s="46" t="s">
        <v>42</v>
      </c>
      <c r="C13" s="46"/>
      <c r="D13" s="47"/>
      <c r="E13" s="13" t="s">
        <v>60</v>
      </c>
      <c r="F13" s="46" t="s">
        <v>42</v>
      </c>
      <c r="G13" s="46"/>
      <c r="H13" s="47"/>
      <c r="I13" s="10" t="s">
        <v>61</v>
      </c>
      <c r="J13" s="46" t="s">
        <v>42</v>
      </c>
      <c r="K13" s="46"/>
      <c r="L13" s="47"/>
    </row>
    <row r="14" spans="1:14" ht="20.149999999999999" customHeight="1" x14ac:dyDescent="0.9">
      <c r="A14" s="11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1"/>
    </row>
    <row r="16" spans="1:14" ht="20.149999999999999" customHeight="1" x14ac:dyDescent="0.8">
      <c r="A16" s="10" t="s">
        <v>71</v>
      </c>
      <c r="B16" s="46" t="s">
        <v>75</v>
      </c>
      <c r="C16" s="46"/>
      <c r="D16" s="47"/>
      <c r="E16" s="10" t="s">
        <v>72</v>
      </c>
      <c r="F16" s="101">
        <f>B10</f>
        <v>5</v>
      </c>
      <c r="G16" s="101"/>
      <c r="H16" s="102"/>
      <c r="I16" s="10" t="s">
        <v>74</v>
      </c>
      <c r="J16" s="46"/>
      <c r="K16" s="46"/>
      <c r="L16" s="47"/>
    </row>
    <row r="17" spans="1:12" ht="20.149999999999999" customHeight="1" x14ac:dyDescent="0.7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9" t="s">
        <v>76</v>
      </c>
      <c r="H19" s="30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9" t="s">
        <v>77</v>
      </c>
      <c r="H20" s="30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9" t="s">
        <v>78</v>
      </c>
      <c r="H21" s="30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9" t="s">
        <v>79</v>
      </c>
      <c r="H22" s="30"/>
      <c r="I22" s="66"/>
      <c r="J22" s="67"/>
      <c r="K22" s="66"/>
      <c r="L22" s="67"/>
    </row>
    <row r="23" spans="1:12" ht="20.149999999999999" customHeight="1" x14ac:dyDescent="0.75">
      <c r="A23" s="78" t="s">
        <v>150</v>
      </c>
      <c r="B23" s="78"/>
      <c r="C23" s="57" t="s">
        <v>151</v>
      </c>
      <c r="D23" s="58"/>
      <c r="E23" s="59"/>
      <c r="F23" s="60"/>
      <c r="G23" s="9" t="s">
        <v>80</v>
      </c>
      <c r="H23" s="30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9" t="s">
        <v>81</v>
      </c>
      <c r="H24" s="30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9" t="s">
        <v>82</v>
      </c>
      <c r="H25" s="30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120" t="s">
        <v>103</v>
      </c>
      <c r="H27" s="120"/>
      <c r="I27" s="120" t="s">
        <v>102</v>
      </c>
      <c r="J27" s="120"/>
      <c r="K27" s="16" t="s">
        <v>88</v>
      </c>
      <c r="L27" s="16" t="s">
        <v>89</v>
      </c>
    </row>
    <row r="28" spans="1:12" ht="20.149999999999999" customHeight="1" x14ac:dyDescent="0.75">
      <c r="A28" s="15" t="s">
        <v>90</v>
      </c>
      <c r="B28" s="6" t="s">
        <v>166</v>
      </c>
      <c r="C28" s="6"/>
      <c r="D28" s="22">
        <v>34.799999999999997</v>
      </c>
      <c r="E28" s="44">
        <v>2.2999999999999998</v>
      </c>
      <c r="F28" s="6"/>
      <c r="G28" s="116"/>
      <c r="H28" s="116"/>
      <c r="I28" s="116"/>
      <c r="J28" s="116"/>
      <c r="K28" s="6"/>
      <c r="L28" s="22"/>
    </row>
    <row r="29" spans="1:12" ht="20.149999999999999" customHeight="1" x14ac:dyDescent="0.75">
      <c r="A29" s="15" t="s">
        <v>91</v>
      </c>
      <c r="B29" s="6"/>
      <c r="C29" s="6"/>
      <c r="D29" s="6"/>
      <c r="E29" s="7"/>
      <c r="F29" s="6"/>
      <c r="G29" s="116"/>
      <c r="H29" s="116"/>
      <c r="I29" s="116"/>
      <c r="J29" s="116"/>
      <c r="K29" s="6"/>
      <c r="L29" s="22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49999999999999" customHeight="1" x14ac:dyDescent="0.7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49999999999999" customHeight="1" x14ac:dyDescent="0.7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49999999999999" customHeight="1" x14ac:dyDescent="0.7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49999999999999" customHeight="1" x14ac:dyDescent="0.7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49999999999999" customHeight="1" x14ac:dyDescent="0.7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49999999999999" customHeight="1" x14ac:dyDescent="0.7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49999999999999" customHeight="1" x14ac:dyDescent="0.7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49999999999999" customHeight="1" x14ac:dyDescent="0.75"/>
    <row r="45" spans="1:12" ht="20.149999999999999" customHeight="1" x14ac:dyDescent="0.7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49999999999999" customHeight="1" x14ac:dyDescent="0.7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49999999999999" customHeight="1" x14ac:dyDescent="0.7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49999999999999" customHeight="1" x14ac:dyDescent="0.7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49999999999999" customHeight="1" x14ac:dyDescent="0.7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49999999999999" customHeight="1" x14ac:dyDescent="0.7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49999999999999" customHeight="1" x14ac:dyDescent="0.7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49999999999999" customHeight="1" x14ac:dyDescent="0.7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49999999999999" customHeight="1" x14ac:dyDescent="0.7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49999999999999" customHeight="1" x14ac:dyDescent="0.7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49999999999999" customHeight="1" x14ac:dyDescent="0.7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49999999999999" customHeight="1" x14ac:dyDescent="0.7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49999999999999" customHeight="1" x14ac:dyDescent="0.7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49999999999999" customHeight="1" x14ac:dyDescent="0.7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49999999999999" customHeight="1" x14ac:dyDescent="0.7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49999999999999" customHeight="1" x14ac:dyDescent="0.7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49999999999999" customHeight="1" x14ac:dyDescent="0.7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49999999999999" customHeight="1" x14ac:dyDescent="0.7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49999999999999" customHeight="1" x14ac:dyDescent="0.7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49999999999999" customHeight="1" x14ac:dyDescent="0.7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49999999999999" customHeight="1" x14ac:dyDescent="0.7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49999999999999" customHeight="1" x14ac:dyDescent="0.7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49999999999999" customHeight="1" x14ac:dyDescent="0.7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49999999999999" customHeight="1" x14ac:dyDescent="0.7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49999999999999" customHeight="1" x14ac:dyDescent="0.7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49999999999999" customHeight="1" x14ac:dyDescent="0.7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49999999999999" customHeight="1" x14ac:dyDescent="0.7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49999999999999" customHeight="1" x14ac:dyDescent="0.7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49999999999999" customHeight="1" x14ac:dyDescent="0.7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49999999999999" customHeight="1" x14ac:dyDescent="0.7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49999999999999" customHeight="1" x14ac:dyDescent="0.7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49999999999999" customHeight="1" x14ac:dyDescent="0.7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49999999999999" customHeight="1" x14ac:dyDescent="0.7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49999999999999" customHeight="1" x14ac:dyDescent="0.7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49999999999999" customHeight="1" x14ac:dyDescent="0.7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49999999999999" customHeight="1" x14ac:dyDescent="0.7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49999999999999" customHeight="1" x14ac:dyDescent="0.7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49999999999999" customHeight="1" x14ac:dyDescent="0.7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49999999999999" customHeight="1" x14ac:dyDescent="0.7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49999999999999" customHeight="1" x14ac:dyDescent="0.7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49999999999999" customHeight="1" x14ac:dyDescent="0.7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7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7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3">
        <f ca="1">DATE(YEAR(Sheet1!J1),MONTH(Sheet1!J1)+1,DAY(Sheet1!J1))</f>
        <v>45824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3">
        <f ca="1">DATE(YEAR(Sheet1!J1),MONTH(Sheet1!J1),DAY(Sheet1!J1)+21)</f>
        <v>45814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7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7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7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7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7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7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7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7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7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7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7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7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7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7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7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7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7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7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7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7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7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7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7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7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7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7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7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7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7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7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7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7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7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7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7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75">
      <c r="A59" s="36"/>
    </row>
    <row r="60" spans="1:20" x14ac:dyDescent="0.75">
      <c r="A60" s="37" t="s">
        <v>61</v>
      </c>
      <c r="O60" s="1"/>
      <c r="Q60" s="1"/>
      <c r="R60" s="3"/>
      <c r="S60" s="1"/>
    </row>
    <row r="61" spans="1:20" x14ac:dyDescent="0.75">
      <c r="A61" s="36" t="s">
        <v>42</v>
      </c>
      <c r="O61" s="1"/>
      <c r="Q61" s="1"/>
      <c r="R61" s="1"/>
      <c r="S61" s="1"/>
    </row>
    <row r="62" spans="1:20" x14ac:dyDescent="0.75">
      <c r="A62" s="39" t="s">
        <v>144</v>
      </c>
      <c r="O62" s="1"/>
      <c r="Q62" s="1"/>
      <c r="R62" s="1"/>
      <c r="S62" s="1"/>
    </row>
    <row r="63" spans="1:20" x14ac:dyDescent="0.75">
      <c r="A63" s="40" t="s">
        <v>123</v>
      </c>
      <c r="O63" s="1"/>
      <c r="Q63" s="1"/>
      <c r="R63" s="1"/>
      <c r="S63" s="1"/>
      <c r="T63" s="1"/>
    </row>
    <row r="64" spans="1:20" x14ac:dyDescent="0.75">
      <c r="A64" s="40" t="s">
        <v>116</v>
      </c>
      <c r="O64" s="1"/>
      <c r="Q64" s="1"/>
      <c r="R64" s="1"/>
      <c r="S64" s="1"/>
      <c r="T64" s="1"/>
    </row>
    <row r="65" spans="1:20" x14ac:dyDescent="0.7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0" t="s">
        <v>121</v>
      </c>
      <c r="N69" s="4"/>
    </row>
    <row r="70" spans="1:20" x14ac:dyDescent="0.75">
      <c r="A70" s="40" t="s">
        <v>142</v>
      </c>
    </row>
    <row r="71" spans="1:20" x14ac:dyDescent="0.75">
      <c r="A71" s="40" t="s">
        <v>122</v>
      </c>
    </row>
    <row r="72" spans="1:20" x14ac:dyDescent="0.75">
      <c r="A72" s="40" t="s">
        <v>120</v>
      </c>
    </row>
    <row r="73" spans="1:20" x14ac:dyDescent="0.75">
      <c r="A73" s="40" t="s">
        <v>121</v>
      </c>
    </row>
    <row r="74" spans="1:20" x14ac:dyDescent="0.75">
      <c r="A74" s="40" t="s">
        <v>142</v>
      </c>
    </row>
    <row r="75" spans="1:20" x14ac:dyDescent="0.7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65AF005-237E-4B89-9024-AA474211D7F6}"/>
</file>

<file path=customXml/itemProps2.xml><?xml version="1.0" encoding="utf-8"?>
<ds:datastoreItem xmlns:ds="http://schemas.openxmlformats.org/officeDocument/2006/customXml" ds:itemID="{C876AB5E-77A0-4B17-A05C-0A26FFDAB613}"/>
</file>

<file path=customXml/itemProps3.xml><?xml version="1.0" encoding="utf-8"?>
<ds:datastoreItem xmlns:ds="http://schemas.openxmlformats.org/officeDocument/2006/customXml" ds:itemID="{F3FEDEDA-1FAC-4D16-9064-CC4F7E55E0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2025-05-16T01:22:03Z</cp:lastPrinted>
  <dcterms:created xsi:type="dcterms:W3CDTF">2019-11-27T23:28:06Z</dcterms:created>
  <dcterms:modified xsi:type="dcterms:W3CDTF">2025-05-18T23:11:49Z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