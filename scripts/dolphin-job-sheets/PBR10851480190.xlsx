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30D66D0-23DF-4FC8-965E-44FF8B3770B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<sst xmlns="http://schemas.openxmlformats.org/spreadsheetml/2006/main" count="301" uniqueCount="199">
  <si>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</si>
  <si>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</si>
  <si>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</si>
  <si>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</si>
  <si>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</si>
  <si>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</si>
  <si>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</si>
  <si>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</si>
  <si>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</si>
  <si>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</si>
  <si>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</si>
  <si>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</si>
  <si>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</si>
  <si>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</si>
  <si>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</si>
  <si>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</si>
  <si>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</si>
  <si>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</si>
  <si>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</si>
  <si>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</si>
  <si>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</si>
  <si>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</si>
  <si>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</si>
  <si>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</si>
  <si>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</si>
  <si>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</si>
  <si>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</si>
  <si>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</si>
  <si>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</si>
  <si>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</si>
  <si>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</si>
  <si>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</si>
  <si>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</si>
  <si>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</si>
  <si>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</si>
  <si>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</si>
  <si>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</si>
  <si>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</si>
  <si>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</si>
  <si>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</si>
  <si>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</si>
  <si>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</si>
  <si>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</si>
  <si>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</si>
  <si>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</si>
  <si>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</si>
  <si>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</si>
  <si>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</si>
  <si>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</si>
  <si>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</si>
  <si>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</si>
  <si>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</si>
  <si>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</si>
  <si>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</si>
  <si>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</si>
  <si>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</si>
  <si>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</si>
  <si>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</si>
  <si>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</si>
  <si>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</si>
  <si>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</si>
  <si>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</si>
  <si>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</si>
  <si>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</si>
  <si>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</si>
  <si>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</si>
  <si>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</si>
  <si>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</si>
  <si>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</si>
  <si>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</si>
  <si>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</si>
  <si>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</si>
  <si>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</si>
  <si>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</si>
  <si>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</si>
  <si>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</si>
  <si>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</si>
  <si>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</si>
  <si>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</si>
  <si>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</si>
  <si>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</si>
  <si>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</si>
  <si>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</si>
  <si>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</si>
  <si>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</si>
  <si>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</si>
  <si>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</si>
  <si>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</si>
  <si>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</si>
  <si>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</si>
  <si>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</si>
  <si>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</si>
  <si>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</si>
  <si>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</si>
  <si>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</si>
  <si>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</si>
  <si>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</si>
  <si>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</si>
  <si>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</si>
  <si>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</si>
  <si>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</si>
  <si>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</si>
  <si>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</si>
  <si>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</si>
  <si>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</si>
  <si>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</si>
  <si>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</si>
  <si>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</si>
  <si>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</si>
  <si>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</si>
  <si>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</si>
  <si>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</si>
  <si>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</si>
  <si>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</si>
  <si>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</si>
  <si>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</si>
  <si>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</si>
  <si>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</si>
  <si>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</si>
  <si>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</si>
  <si>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</si>
  <si>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</si>
  <si>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</si>
  <si>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</si>
  <si>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</si>
  <si>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</si>
  <si>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</si>
  <si>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</si>
  <si>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</si>
  <si>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</si>
  <si>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</si>
  <si>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</si>
  <si>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</si>
  <si>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</si>
  <si>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</si>
  <si>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</si>
  <si>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</si>
  <si>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</si>
  <si>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</si>
  <si>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</si>
  <si>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</si>
  <si>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</si>
  <si>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</si>
  <si>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</si>
  <si>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</si>
  <si>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</si>
  <si>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</si>
  <si>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</si>
  <si>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</si>
  <si>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</si>
  <si>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</si>
  <si>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</si>
  <si>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</si>
  <si>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</si>
  <si>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</si>
  <si>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</si>
  <si>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</si>
  <si>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</si>
  <si>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</si>
  <si>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</si>
  <si>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</si>
  <si>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</si>
  <si>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</si>
  <si>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</si>
  <si>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</si>
  <si>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</si>
  <si>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</si>
  <si>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</si>
  <si>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</si>
  <si>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</si>
  <si>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</si>
  <si>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</si>
  <si>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</si>
  <si>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</si>
  <si>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</si>
  <si>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</si>
  <si>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</si>
  <si>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</si>
  <si>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</si>
  <si>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</si>
  <si>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</si>
  <si>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</si>
  <si>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</si>
  <si>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</si>
  <si>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</si>
  <si>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</si>
  <si>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</si>
  <si>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</si>
  <si>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</si>
  <si>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</si>
  <si>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</si>
  <si>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</si>
  <si>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</si>
  <si>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</si>
  <si>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</si>
  <si>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</si>
  <si>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UPDATE CABINETS</t>
  </si>
  <si>
    <t>NOT OVER</t>
  </si>
  <si>
    <t>PERF INLINE - CHECK SEALS - NEAT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</si>
</sst>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PBR10851480190</v>
      </c>
      <c r="C1" s="95"/>
      <c r="D1" s="96"/>
      <c r="E1" s="16" t="s">
        <v>56</v>
      </c>
      <c r="F1" s="61" t="s">
        <v>196</v>
      </c>
      <c r="G1" s="61"/>
      <c r="H1" s="62"/>
      <c r="I1" s="16" t="s">
        <v>180</v>
      </c>
      <c r="J1" s="106">
        <f ca="1">TODAY()</f>
        <v>45534</v>
      </c>
      <c r="K1" s="106"/>
      <c r="L1" s="107"/>
      <c r="M1" s="30"/>
      <c r="N1" s="16" t="s">
        <v>55</v>
      </c>
      <c r="O1" s="95" t="str">
        <f>B1</f>
        <v>PBR10851480190</v>
      </c>
      <c r="P1" s="95"/>
      <c r="Q1" s="96"/>
      <c r="R1" s="16" t="s">
        <v>56</v>
      </c>
      <c r="S1" s="95" t="str">
        <f>F1</f>
        <v>UPDATE CABINETS</v>
      </c>
      <c r="T1" s="95"/>
      <c r="U1" s="96"/>
      <c r="V1" s="16" t="s">
        <v>180</v>
      </c>
      <c r="W1" s="106">
        <f ca="1">J1</f>
        <v>45534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948528</v>
      </c>
      <c r="G2" s="61"/>
      <c r="H2" s="62"/>
      <c r="I2" s="16" t="s">
        <v>58</v>
      </c>
      <c r="J2" s="116">
        <v>45555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948528</v>
      </c>
      <c r="T2" s="95"/>
      <c r="U2" s="96"/>
      <c r="V2" s="16" t="s">
        <v>58</v>
      </c>
      <c r="W2" s="108">
        <f>J2</f>
        <v>45555</v>
      </c>
      <c r="X2" s="95"/>
      <c r="Y2" s="96"/>
    </row>
    <row r="3" spans="1:25" ht="20.149999999999999" customHeight="1" x14ac:dyDescent="0.75">
      <c r="A3" s="97" t="s">
        <v>198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PERF INLINE - CHECK SEALS - NEAT ROLLS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10</v>
      </c>
      <c r="P7" s="62"/>
      <c r="Q7" s="16" t="str">
        <f>IF(ISNUMBER(SEARCH("roll",O8,1)),"Per Roll","Per Carton")</f>
        <v>Per Roll</v>
      </c>
      <c r="R7" s="61">
        <v>30</v>
      </c>
      <c r="S7" s="62"/>
      <c r="T7" s="16" t="str">
        <f>IF(ISNUMBER(SEARCH("bag",O8,1)),"Total Bags","Total Sheets")</f>
        <v>Total Bags</v>
      </c>
      <c r="U7" s="95">
        <f>R7*O7</f>
        <v>300</v>
      </c>
      <c r="V7" s="96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14">
        <f>R9</f>
        <v>1085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None</v>
      </c>
      <c r="F8" s="115"/>
      <c r="G8" s="17" t="s">
        <v>51</v>
      </c>
      <c r="H8" s="114">
        <f>(IF(V9&lt;30,"30",V9))</f>
        <v>190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23" t="s">
        <v>164</v>
      </c>
      <c r="P8" s="124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29" t="s">
        <v>194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197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1085</v>
      </c>
      <c r="S9" s="23" t="s">
        <v>77</v>
      </c>
      <c r="T9" s="31">
        <v>1480</v>
      </c>
      <c r="U9" s="23" t="s">
        <v>77</v>
      </c>
      <c r="V9" s="31">
        <v>190</v>
      </c>
      <c r="W9" s="22"/>
      <c r="X9" s="121"/>
      <c r="Y9" s="122"/>
    </row>
    <row r="10" spans="1:25" ht="20.149999999999999" customHeight="1" x14ac:dyDescent="0.8">
      <c r="A10" s="16" t="s">
        <v>50</v>
      </c>
      <c r="B10" s="61">
        <v>10</v>
      </c>
      <c r="C10" s="62"/>
      <c r="D10" s="49" t="s">
        <v>133</v>
      </c>
      <c r="E10" s="131">
        <f>IF(ISNUMBER(SEARCH("sheet",O8,1)),((R9*T9*H8/540000)*U7/2000*1.3),((R9*T9*H8/540000)*U7/1000*1.08))</f>
        <v>183.06120000000001</v>
      </c>
      <c r="F10" s="132"/>
      <c r="G10" s="16" t="s">
        <v>52</v>
      </c>
      <c r="H10" s="135">
        <f>IF(ISNUMBER(SEARCH("sheet",O8,1)),(U7*T9/2000*1.08),(U7*T9/1000*1.08))</f>
        <v>479.52000000000004</v>
      </c>
      <c r="I10" s="136"/>
      <c r="J10" s="16" t="s">
        <v>40</v>
      </c>
      <c r="K10" s="61" t="s">
        <v>43</v>
      </c>
      <c r="L10" s="62"/>
      <c r="M10" s="30"/>
      <c r="N10" s="18" t="s">
        <v>140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17"/>
      <c r="V10" s="117"/>
      <c r="W10" s="117"/>
      <c r="X10" s="117"/>
      <c r="Y10" s="11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3">
        <f>E10/B10</f>
        <v>18.30612</v>
      </c>
      <c r="F11" s="134"/>
      <c r="G11" s="16" t="s">
        <v>14</v>
      </c>
      <c r="H11" s="133">
        <f>H10/B10</f>
        <v>47.952000000000005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49999999999999" customHeight="1" x14ac:dyDescent="0.7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22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4"/>
      <c r="J18" s="145"/>
      <c r="K18" s="144"/>
      <c r="L18" s="145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4"/>
      <c r="J19" s="145"/>
      <c r="K19" s="144"/>
      <c r="L19" s="145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9"/>
      <c r="B23" s="139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4"/>
      <c r="J23" s="145"/>
      <c r="K23" s="144"/>
      <c r="L23" s="145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4"/>
      <c r="J24" s="145"/>
      <c r="K24" s="144"/>
      <c r="L24" s="145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45565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45555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195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154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4139012-9CA0-4CDB-94A6-018BCDD989BD}"/>
</file>

<file path=customXml/itemProps2.xml><?xml version="1.0" encoding="utf-8"?>
<ds:datastoreItem xmlns:ds="http://schemas.openxmlformats.org/officeDocument/2006/customXml" ds:itemID="{DEAF7551-5BF6-480B-A83F-53964FE8BB51}"/>
</file>

<file path=customXml/itemProps3.xml><?xml version="1.0" encoding="utf-8"?>
<ds:datastoreItem xmlns:ds="http://schemas.openxmlformats.org/officeDocument/2006/customXml" ds:itemID="{FC617119-33FD-4612-8A7F-381D114CA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2024-08-29T23:41:43Z</cp:lastPrinted>
  <dcterms:created xsi:type="dcterms:W3CDTF">2019-11-27T23:28:06Z</dcterms:created>
  <dcterms:modified xsi:type="dcterms:W3CDTF">2024-09-03T00:29:26Z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