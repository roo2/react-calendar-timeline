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3AC2DE09-9F1C-4FD6-AFA8-75F560C622C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<sst xmlns="http://schemas.openxmlformats.org/spreadsheetml/2006/main" count="306" uniqueCount="202">
  <si>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</si>
  <si>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</si>
  <si>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</si>
  <si>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</si>
  <si>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</si>
  <si>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</si>
  <si>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</si>
  <si>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</si>
  <si>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</si>
  <si>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</si>
  <si>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</si>
  <si>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</si>
  <si>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</si>
  <si>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</si>
  <si>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</si>
  <si>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</si>
  <si>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</si>
  <si>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</si>
  <si>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</si>
  <si>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</si>
  <si>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</si>
  <si>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</si>
  <si>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</si>
  <si>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</si>
  <si>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</si>
  <si>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</si>
  <si>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</si>
  <si>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</si>
  <si>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</si>
  <si>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</si>
  <si>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</si>
  <si>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</si>
  <si>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</si>
  <si>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</si>
  <si>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</si>
  <si>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</si>
  <si>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</si>
  <si>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</si>
  <si>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</si>
  <si>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</si>
  <si>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</si>
  <si>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</si>
  <si>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</si>
  <si>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</si>
  <si>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</si>
  <si>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</si>
  <si>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</si>
  <si>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</si>
  <si>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</si>
  <si>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</si>
  <si>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</si>
  <si>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</si>
  <si>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</si>
  <si>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</si>
  <si>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</si>
  <si>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</si>
  <si>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</si>
  <si>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</si>
  <si>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</si>
  <si>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</si>
  <si>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</si>
  <si>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</si>
  <si>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</si>
  <si>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</si>
  <si>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</si>
  <si>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</si>
  <si>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</si>
  <si>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</si>
  <si>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</si>
  <si>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</si>
  <si>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</si>
  <si>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</si>
  <si>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</si>
  <si>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</si>
  <si>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</si>
  <si>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</si>
  <si>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</si>
  <si>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</si>
  <si>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</si>
  <si>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</si>
  <si>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</si>
  <si>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</si>
  <si>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</si>
  <si>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</si>
  <si>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</si>
  <si>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</si>
  <si>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</si>
  <si>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</si>
  <si>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</si>
  <si>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</si>
  <si>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</si>
  <si>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</si>
  <si>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</si>
  <si>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</si>
  <si>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</si>
  <si>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</si>
  <si>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</si>
  <si>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</si>
  <si>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</si>
  <si>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</si>
  <si>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</si>
  <si>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</si>
  <si>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</si>
  <si>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</si>
  <si>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</si>
  <si>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</si>
  <si>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</si>
  <si>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</si>
  <si>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</si>
  <si>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</si>
  <si>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</si>
  <si>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</si>
  <si>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</si>
  <si>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</si>
  <si>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</si>
  <si>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</si>
  <si>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</si>
  <si>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</si>
  <si>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</si>
  <si>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</si>
  <si>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</si>
  <si>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</si>
  <si>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</si>
  <si>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</si>
  <si>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</si>
  <si>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</si>
  <si>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</si>
  <si>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</si>
  <si>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</si>
  <si>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</si>
  <si>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</si>
  <si>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</si>
  <si>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</si>
  <si>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</si>
  <si>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</si>
  <si>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</si>
  <si>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</si>
  <si>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</si>
  <si>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</si>
  <si>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</si>
  <si>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</si>
  <si>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</si>
  <si>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</si>
  <si>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</si>
  <si>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</si>
  <si>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</si>
  <si>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</si>
  <si>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</si>
  <si>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</si>
  <si>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</si>
  <si>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</si>
  <si>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</si>
  <si>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</si>
  <si>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</si>
  <si>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</si>
  <si>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</si>
  <si>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</si>
  <si>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</si>
  <si>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</si>
  <si>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</si>
  <si>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</si>
  <si>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</si>
  <si>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</si>
  <si>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</si>
  <si>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</si>
  <si>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</si>
  <si>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</si>
  <si>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</si>
  <si>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</si>
  <si>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</si>
  <si>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</si>
  <si>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</si>
  <si>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</si>
  <si>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</si>
  <si>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</si>
  <si>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</si>
  <si>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</si>
  <si>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</si>
  <si>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</si>
  <si>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</si>
  <si>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</si>
  <si>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</si>
  <si>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</si>
  <si>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</si>
  <si>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</si>
  <si>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</si>
  <si>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</si>
  <si>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</si>
  <si>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</si>
  <si>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</si>
  <si>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</si>
  <si>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</si>
  <si>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</si>
  <si>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</si>
  <si>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GROUP LINEN</t>
  </si>
  <si>
    <t xml:space="preserve"> +/- 10mm</t>
  </si>
  <si>
    <t>RUN AT 28um</t>
  </si>
  <si>
    <t>MEDIUM BAG</t>
  </si>
  <si>
    <t>ANTISTATIC</t>
  </si>
  <si>
    <t>LIMAX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</si>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</sst>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PB40564030AS0</v>
      </c>
      <c r="C1" s="111"/>
      <c r="D1" s="112"/>
      <c r="E1" s="11" t="s">
        <v>57</v>
      </c>
      <c r="F1" s="87" t="s">
        <v>194</v>
      </c>
      <c r="G1" s="87"/>
      <c r="H1" s="88"/>
      <c r="I1" s="12" t="s">
        <v>181</v>
      </c>
      <c r="J1" s="84">
        <f ca="1">TODAY()</f>
        <v>45947</v>
      </c>
      <c r="K1" s="84"/>
      <c r="L1" s="85"/>
      <c r="M1" s="29"/>
      <c r="N1" s="11" t="s">
        <v>56</v>
      </c>
      <c r="O1" s="111" t="str">
        <f>B1</f>
        <v>PB40564030AS0</v>
      </c>
      <c r="P1" s="111"/>
      <c r="Q1" s="112"/>
      <c r="R1" s="11" t="s">
        <v>57</v>
      </c>
      <c r="S1" s="111" t="str">
        <f>F1</f>
        <v>GROUP LINEN</v>
      </c>
      <c r="T1" s="111"/>
      <c r="U1" s="112"/>
      <c r="V1" s="11" t="s">
        <v>181</v>
      </c>
      <c r="W1" s="84">
        <f ca="1">J1</f>
        <v>45947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MEDIUM BAG</v>
      </c>
      <c r="C2" s="111"/>
      <c r="D2" s="112"/>
      <c r="E2" s="11" t="s">
        <v>58</v>
      </c>
      <c r="F2" s="87">
        <v>950648</v>
      </c>
      <c r="G2" s="87"/>
      <c r="H2" s="88"/>
      <c r="I2" s="11" t="s">
        <v>59</v>
      </c>
      <c r="J2" s="86">
        <v>45977</v>
      </c>
      <c r="K2" s="87"/>
      <c r="L2" s="88"/>
      <c r="M2" s="29"/>
      <c r="N2" s="11" t="s">
        <v>100</v>
      </c>
      <c r="O2" s="111" t="str">
        <f>IF(B2="","",B2)</f>
        <v>MEDIUM BAG</v>
      </c>
      <c r="P2" s="111"/>
      <c r="Q2" s="112"/>
      <c r="R2" s="11" t="s">
        <v>58</v>
      </c>
      <c r="S2" s="111">
        <f>IF(F2="","",F2)</f>
        <v>950648</v>
      </c>
      <c r="T2" s="111"/>
      <c r="U2" s="112"/>
      <c r="V2" s="11" t="s">
        <v>59</v>
      </c>
      <c r="W2" s="122">
        <f>J2</f>
        <v>45977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30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30000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405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405</v>
      </c>
      <c r="S9" s="18" t="s">
        <v>78</v>
      </c>
      <c r="T9" s="30">
        <v>640</v>
      </c>
      <c r="U9" s="18" t="s">
        <v>78</v>
      </c>
      <c r="V9" s="30">
        <v>30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16</v>
      </c>
      <c r="C10" s="88"/>
      <c r="D10" s="47" t="s">
        <v>134</v>
      </c>
      <c r="E10" s="101">
        <f>IF(ISNUMBER(SEARCH("sheet",O8,1)),((R9*T9*H8/540000)*U7/2000*1.3),((R9*T9*H8/540000)*U7/1000*1.08))</f>
        <v>466.56000000000006</v>
      </c>
      <c r="F10" s="102"/>
      <c r="G10" s="11" t="s">
        <v>53</v>
      </c>
      <c r="H10" s="105">
        <f>IF(ISNUMBER(SEARCH("sheet",O8,1)),(U7*T9/2000*1.08),(U7*T9/1000*1.08))</f>
        <v>20736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29.160000000000004</v>
      </c>
      <c r="F11" s="104"/>
      <c r="G11" s="11" t="s">
        <v>15</v>
      </c>
      <c r="H11" s="103">
        <f>H10/B10</f>
        <v>1296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2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0"/>
      <c r="J17" s="141"/>
      <c r="K17" s="140"/>
      <c r="L17" s="141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2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0"/>
      <c r="J18" s="141"/>
      <c r="K18" s="140"/>
      <c r="L18" s="141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23</v>
      </c>
      <c r="S18" s="88"/>
      <c r="T18" s="21" t="s">
        <v>27</v>
      </c>
      <c r="U18" s="87" t="s">
        <v>36</v>
      </c>
      <c r="V18" s="88"/>
      <c r="W18" s="11" t="s">
        <v>109</v>
      </c>
      <c r="X18" s="142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0"/>
      <c r="J19" s="141"/>
      <c r="K19" s="140"/>
      <c r="L19" s="141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0"/>
      <c r="J20" s="141"/>
      <c r="K20" s="140"/>
      <c r="L20" s="141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0"/>
      <c r="J21" s="141"/>
      <c r="K21" s="140"/>
      <c r="L21" s="141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140"/>
      <c r="J22" s="141"/>
      <c r="K22" s="140"/>
      <c r="L22" s="141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198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8" t="s">
        <v>201</v>
      </c>
      <c r="F23" s="83"/>
      <c r="G23" s="48" t="s">
        <v>87</v>
      </c>
      <c r="H23" s="32"/>
      <c r="I23" s="140"/>
      <c r="J23" s="141"/>
      <c r="K23" s="140"/>
      <c r="L23" s="141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200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8" t="s">
        <v>88</v>
      </c>
      <c r="H24" s="32"/>
      <c r="I24" s="140"/>
      <c r="J24" s="141"/>
      <c r="K24" s="140"/>
      <c r="L24" s="14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32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45968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8FFA2EF-DB5E-4413-BB91-43F171C5B5C2}"/>
</file>

<file path=customXml/itemProps2.xml><?xml version="1.0" encoding="utf-8"?>
<ds:datastoreItem xmlns:ds="http://schemas.openxmlformats.org/officeDocument/2006/customXml" ds:itemID="{D9B05C7A-0D5C-4524-B447-64FFE4265313}"/>
</file>

<file path=customXml/itemProps3.xml><?xml version="1.0" encoding="utf-8"?>
<ds:datastoreItem xmlns:ds="http://schemas.openxmlformats.org/officeDocument/2006/customXml" ds:itemID="{BA27B8F7-52A7-4304-A033-7F1742BCB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2025-10-16T01:57:59Z</cp:lastPrinted>
  <dcterms:created xsi:type="dcterms:W3CDTF">2019-11-27T23:28:06Z</dcterms:created>
  <dcterms:modified xsi:type="dcterms:W3CDTF">2025-10-23T22:57:35Z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