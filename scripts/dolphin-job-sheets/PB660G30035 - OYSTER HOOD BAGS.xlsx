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6A7C54B-9DF1-4159-95F2-FAFD47C982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<sst xmlns="http://schemas.openxmlformats.org/spreadsheetml/2006/main" count="306" uniqueCount="202">
  <si>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</si>
  <si>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</si>
  <si>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</si>
  <si>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</si>
  <si>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</si>
  <si>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</si>
  <si>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</si>
  <si>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</si>
  <si>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</si>
  <si>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</si>
  <si>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</si>
  <si>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</si>
  <si>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</si>
  <si>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</si>
  <si>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</si>
  <si>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</si>
  <si>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</si>
  <si>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</si>
  <si>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</si>
  <si>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</si>
  <si>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</si>
  <si>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</si>
  <si>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</si>
  <si>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</si>
  <si>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</si>
  <si>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</si>
  <si>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</si>
  <si>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</si>
  <si>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</si>
  <si>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</si>
  <si>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</si>
  <si>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</si>
  <si>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</si>
  <si>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</si>
  <si>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</si>
  <si>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</si>
  <si>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</si>
  <si>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</si>
  <si>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</si>
  <si>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</si>
  <si>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</si>
  <si>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</si>
  <si>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</si>
  <si>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</si>
  <si>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</si>
  <si>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</si>
  <si>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</si>
  <si>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</si>
  <si>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</si>
  <si>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</si>
  <si>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</si>
  <si>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</si>
  <si>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</si>
  <si>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</si>
  <si>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</si>
  <si>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</si>
  <si>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</si>
  <si>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</si>
  <si>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</si>
  <si>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</si>
  <si>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</si>
  <si>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</si>
  <si>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</si>
  <si>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</si>
  <si>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</si>
  <si>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</si>
  <si>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</si>
  <si>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</si>
  <si>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</si>
  <si>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</si>
  <si>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</si>
  <si>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</si>
  <si>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</si>
  <si>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</si>
  <si>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</si>
  <si>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</si>
  <si>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</si>
  <si>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</si>
  <si>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</si>
  <si>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</si>
  <si>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</si>
  <si>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</si>
  <si>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</si>
  <si>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</si>
  <si>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</si>
  <si>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</si>
  <si>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</si>
  <si>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</si>
  <si>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</si>
  <si>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</si>
  <si>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</si>
  <si>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</si>
  <si>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</si>
  <si>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</si>
  <si>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</si>
  <si>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</si>
  <si>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</si>
  <si>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</si>
  <si>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</si>
  <si>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</si>
  <si>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</si>
  <si>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</si>
  <si>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</si>
  <si>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</si>
  <si>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</si>
  <si>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</si>
  <si>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</si>
  <si>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</si>
  <si>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</si>
  <si>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</si>
  <si>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</si>
  <si>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</si>
  <si>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</si>
  <si>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</si>
  <si>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</si>
  <si>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</si>
  <si>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</si>
  <si>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</si>
  <si>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</si>
  <si>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</si>
  <si>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</si>
  <si>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</si>
  <si>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</si>
  <si>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</si>
  <si>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</si>
  <si>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</si>
  <si>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</si>
  <si>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</si>
  <si>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</si>
  <si>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</si>
  <si>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</si>
  <si>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</si>
  <si>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</si>
  <si>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</si>
  <si>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</si>
  <si>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</si>
  <si>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</si>
  <si>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</si>
  <si>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</si>
  <si>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</si>
  <si>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</si>
  <si>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</si>
  <si>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</si>
  <si>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</si>
  <si>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</si>
  <si>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</si>
  <si>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</si>
  <si>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</si>
  <si>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</si>
  <si>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</si>
  <si>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</si>
  <si>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</si>
  <si>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</si>
  <si>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</si>
  <si>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</si>
  <si>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</si>
  <si>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</si>
  <si>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</si>
  <si>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</si>
  <si>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</si>
  <si>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</si>
  <si>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</si>
  <si>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</si>
  <si>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</si>
  <si>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</si>
  <si>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</si>
  <si>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</si>
  <si>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</si>
  <si>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</si>
  <si>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</si>
  <si>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</si>
  <si>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</si>
  <si>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</si>
  <si>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</si>
  <si>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</si>
  <si>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</si>
  <si>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</si>
  <si>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</si>
  <si>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</si>
  <si>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</si>
  <si>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</si>
  <si>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</si>
  <si>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</si>
  <si>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</si>
  <si>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</si>
  <si>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</si>
  <si>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</si>
  <si>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</si>
  <si>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</si>
  <si>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</si>
  <si>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</si>
  <si>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</si>
  <si>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</si>
  <si>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</si>
  <si>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</si>
  <si>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 +/- 5um</t>
  </si>
  <si>
    <t>(360+300)</t>
  </si>
  <si>
    <t>ANTISTATIC</t>
  </si>
  <si>
    <t>OYSTER HOOD BAGS</t>
  </si>
  <si>
    <t>LIMAX</t>
  </si>
  <si>
    <t>OYSTER OBSESSION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</si>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</sst>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PB660G30035AS0</v>
      </c>
      <c r="C1" s="111"/>
      <c r="D1" s="112"/>
      <c r="E1" s="11" t="s">
        <v>57</v>
      </c>
      <c r="F1" s="87" t="s">
        <v>200</v>
      </c>
      <c r="G1" s="87"/>
      <c r="H1" s="88"/>
      <c r="I1" s="12" t="s">
        <v>181</v>
      </c>
      <c r="J1" s="84">
        <f ca="1">TODAY()</f>
        <v>45685</v>
      </c>
      <c r="K1" s="84"/>
      <c r="L1" s="85"/>
      <c r="M1" s="29"/>
      <c r="N1" s="11" t="s">
        <v>56</v>
      </c>
      <c r="O1" s="111" t="str">
        <f>B1</f>
        <v>PB660G30035AS0</v>
      </c>
      <c r="P1" s="111"/>
      <c r="Q1" s="112"/>
      <c r="R1" s="11" t="s">
        <v>57</v>
      </c>
      <c r="S1" s="111" t="str">
        <f>F1</f>
        <v>OYSTER OBSESSION</v>
      </c>
      <c r="T1" s="111"/>
      <c r="U1" s="112"/>
      <c r="V1" s="11" t="s">
        <v>181</v>
      </c>
      <c r="W1" s="84">
        <f ca="1">J1</f>
        <v>45685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>OYSTER HOOD BAGS</v>
      </c>
      <c r="C2" s="111"/>
      <c r="D2" s="112"/>
      <c r="E2" s="11" t="s">
        <v>58</v>
      </c>
      <c r="F2" s="87">
        <v>942866</v>
      </c>
      <c r="G2" s="87"/>
      <c r="H2" s="88"/>
      <c r="I2" s="11" t="s">
        <v>59</v>
      </c>
      <c r="J2" s="86">
        <v>44667</v>
      </c>
      <c r="K2" s="87"/>
      <c r="L2" s="88"/>
      <c r="M2" s="29"/>
      <c r="N2" s="11" t="s">
        <v>100</v>
      </c>
      <c r="O2" s="111" t="str">
        <f>IF(B2="","",B2)</f>
        <v>OYSTER HOOD BAGS</v>
      </c>
      <c r="P2" s="111"/>
      <c r="Q2" s="112"/>
      <c r="R2" s="11" t="s">
        <v>58</v>
      </c>
      <c r="S2" s="111">
        <f>IF(F2="","",F2)</f>
        <v>942866</v>
      </c>
      <c r="T2" s="111"/>
      <c r="U2" s="112"/>
      <c r="V2" s="11" t="s">
        <v>59</v>
      </c>
      <c r="W2" s="122">
        <f>J2</f>
        <v>44667</v>
      </c>
      <c r="X2" s="111"/>
      <c r="Y2" s="112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10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10000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25">
      <c r="A8" s="13" t="s">
        <v>16</v>
      </c>
      <c r="B8" s="89">
        <f>R9</f>
        <v>660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(360+300)</v>
      </c>
      <c r="F8" s="90"/>
      <c r="G8" s="13" t="s">
        <v>52</v>
      </c>
      <c r="H8" s="89">
        <f>(IF(V9&lt;30,"30",V9))</f>
        <v>35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00000000000001" customHeight="1" x14ac:dyDescent="0.3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195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660</v>
      </c>
      <c r="S9" s="18" t="s">
        <v>78</v>
      </c>
      <c r="T9" s="30">
        <v>300</v>
      </c>
      <c r="U9" s="18" t="s">
        <v>78</v>
      </c>
      <c r="V9" s="30">
        <v>35</v>
      </c>
      <c r="W9" s="17"/>
      <c r="X9" s="136" t="s">
        <v>196</v>
      </c>
      <c r="Y9" s="137"/>
    </row>
    <row r="10" spans="1:25" ht="20.100000000000001" customHeight="1" x14ac:dyDescent="0.25">
      <c r="A10" s="11" t="s">
        <v>51</v>
      </c>
      <c r="B10" s="87">
        <v>4</v>
      </c>
      <c r="C10" s="88"/>
      <c r="D10" s="47" t="s">
        <v>134</v>
      </c>
      <c r="E10" s="101">
        <f>IF(ISNUMBER(SEARCH("sheet",O8,1)),((R9*T9*H8/540000)*U7/2000*1.3),((R9*T9*H8/540000)*U7/1000*1.08))</f>
        <v>138.60000000000002</v>
      </c>
      <c r="F10" s="102"/>
      <c r="G10" s="11" t="s">
        <v>53</v>
      </c>
      <c r="H10" s="105">
        <f>IF(ISNUMBER(SEARCH("sheet",O8,1)),(U7*T9/2000*1.08),(U7*T9/1000*1.08))</f>
        <v>3240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198</v>
      </c>
      <c r="V10" s="130"/>
      <c r="W10" s="130"/>
      <c r="X10" s="130"/>
      <c r="Y10" s="131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34.650000000000006</v>
      </c>
      <c r="F11" s="104"/>
      <c r="G11" s="11" t="s">
        <v>15</v>
      </c>
      <c r="H11" s="103">
        <f>H10/B10</f>
        <v>810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130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171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1" t="s">
        <v>116</v>
      </c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3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4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6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4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6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147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9"/>
    </row>
    <row r="23" spans="1:25" ht="20.100000000000001" customHeight="1" x14ac:dyDescent="0.25">
      <c r="A23" s="79" t="s">
        <v>197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 t="s">
        <v>201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199</v>
      </c>
      <c r="P25" s="34"/>
      <c r="Q25" s="10">
        <v>26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45716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45706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7CB3A82-652E-4790-8CB8-32C179545EA2}"/>
</file>

<file path=customXml/itemProps2.xml><?xml version="1.0" encoding="utf-8"?>
<ds:datastoreItem xmlns:ds="http://schemas.openxmlformats.org/officeDocument/2006/customXml" ds:itemID="{1D9398DD-CBBF-4CC9-B4E4-0AC72B49D392}"/>
</file>

<file path=customXml/itemProps3.xml><?xml version="1.0" encoding="utf-8"?>
<ds:datastoreItem xmlns:ds="http://schemas.openxmlformats.org/officeDocument/2006/customXml" ds:itemID="{ACB0363C-9DE7-4C66-B682-C4AA2535ED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2022-03-16T03:50:10Z</cp:lastPrinted>
  <dcterms:created xsi:type="dcterms:W3CDTF">2019-11-27T23:28:06Z</dcterms:created>
  <dcterms:modified xsi:type="dcterms:W3CDTF">2025-01-28T02:00:05Z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