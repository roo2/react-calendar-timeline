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BC8C4E4-FA71-40F5-9BAA-3F310EA26F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<sst xmlns="http://schemas.openxmlformats.org/spreadsheetml/2006/main" count="310" uniqueCount="206">
  <si>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</si>
  <si>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</si>
  <si>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</si>
  <si>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</si>
  <si>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</si>
  <si>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</si>
  <si>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</si>
  <si>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</si>
  <si>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</si>
  <si>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</si>
  <si>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</si>
  <si>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</si>
  <si>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</si>
  <si>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</si>
  <si>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</si>
  <si>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</si>
  <si>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</si>
  <si>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</si>
  <si>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</si>
  <si>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</si>
  <si>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</si>
  <si>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</si>
  <si>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</si>
  <si>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</si>
  <si>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</si>
  <si>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</si>
  <si>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</si>
  <si>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</si>
  <si>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</si>
  <si>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</si>
  <si>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</si>
  <si>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</si>
  <si>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</si>
  <si>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</si>
  <si>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</si>
  <si>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</si>
  <si>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</si>
  <si>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</si>
  <si>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</si>
  <si>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</si>
  <si>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</si>
  <si>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</si>
  <si>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</si>
  <si>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</si>
  <si>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</si>
  <si>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</si>
  <si>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</si>
  <si>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</si>
  <si>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</si>
  <si>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</si>
  <si>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</si>
  <si>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</si>
  <si>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</si>
  <si>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</si>
  <si>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</si>
  <si>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</si>
  <si>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</si>
  <si>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</si>
  <si>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</si>
  <si>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</si>
  <si>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</si>
  <si>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</si>
  <si>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</si>
  <si>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</si>
  <si>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</si>
  <si>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</si>
  <si>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</si>
  <si>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</si>
  <si>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</si>
  <si>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</si>
  <si>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</si>
  <si>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</si>
  <si>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</si>
  <si>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</si>
  <si>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</si>
  <si>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</si>
  <si>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</si>
  <si>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</si>
  <si>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</si>
  <si>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</si>
  <si>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</si>
  <si>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</si>
  <si>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</si>
  <si>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</si>
  <si>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</si>
  <si>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</si>
  <si>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</si>
  <si>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</si>
  <si>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</si>
  <si>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</si>
  <si>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</si>
  <si>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</si>
  <si>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</si>
  <si>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</si>
  <si>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</si>
  <si>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</si>
  <si>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</si>
  <si>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</si>
  <si>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</si>
  <si>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</si>
  <si>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</si>
  <si>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</si>
  <si>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</si>
  <si>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</si>
  <si>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</si>
  <si>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</si>
  <si>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</si>
  <si>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</si>
  <si>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</si>
  <si>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</si>
  <si>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</si>
  <si>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</si>
  <si>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</si>
  <si>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</si>
  <si>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</si>
  <si>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</si>
  <si>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</si>
  <si>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</si>
  <si>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</si>
  <si>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</si>
  <si>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</si>
  <si>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</si>
  <si>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</si>
  <si>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</si>
  <si>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</si>
  <si>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</si>
  <si>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</si>
  <si>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</si>
  <si>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</si>
  <si>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</si>
  <si>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</si>
  <si>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</si>
  <si>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</si>
  <si>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</si>
  <si>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</si>
  <si>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</si>
  <si>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</si>
  <si>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</si>
  <si>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</si>
  <si>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</si>
  <si>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</si>
  <si>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</si>
  <si>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</si>
  <si>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</si>
  <si>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</si>
  <si>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</si>
  <si>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</si>
  <si>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</si>
  <si>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</si>
  <si>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</si>
  <si>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</si>
  <si>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</si>
  <si>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</si>
  <si>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</si>
  <si>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</si>
  <si>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</si>
  <si>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</si>
  <si>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</si>
  <si>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</si>
  <si>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</si>
  <si>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</si>
  <si>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</si>
  <si>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</si>
  <si>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</si>
  <si>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</si>
  <si>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</si>
  <si>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</si>
  <si>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</si>
  <si>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</si>
  <si>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</si>
  <si>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</si>
  <si>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</si>
  <si>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</si>
  <si>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</si>
  <si>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</si>
  <si>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</si>
  <si>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</si>
  <si>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</si>
  <si>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</si>
  <si>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</si>
  <si>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</si>
  <si>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</si>
  <si>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</si>
  <si>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</si>
  <si>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</si>
  <si>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</si>
  <si>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</si>
  <si>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</si>
  <si>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</si>
  <si>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</si>
  <si>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</si>
  <si>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</si>
  <si>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</si>
  <si>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</si>
  <si>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TRIPLE M</t>
  </si>
  <si>
    <t xml:space="preserve"> +/- 5um</t>
  </si>
  <si>
    <t>2PBPSE</t>
  </si>
  <si>
    <t xml:space="preserve"> +/- 10mm</t>
  </si>
  <si>
    <t xml:space="preserve">ORION 2/ LIMAX </t>
  </si>
  <si>
    <t>26/24</t>
  </si>
  <si>
    <t>160/17</t>
  </si>
  <si>
    <t>160/12</t>
  </si>
  <si>
    <t>RUN @ 75UM - LABEL AT 80UM</t>
  </si>
  <si>
    <t>ANTIBLOCK</t>
  </si>
  <si>
    <t>%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</si>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</sst>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1" applyFont="1" applyBorder="1" applyAlignment="1" applyProtection="1">
      <alignment horizontal="center"/>
      <protection locked="0"/>
    </xf>
    <xf numFmtId="9" fontId="3" fillId="0" borderId="5" xfId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4</xdr:row>
      <xdr:rowOff>166687</xdr:rowOff>
    </xdr:from>
    <xdr:to>
      <xdr:col>7</xdr:col>
      <xdr:colOff>452438</xdr:colOff>
      <xdr:row>7</xdr:row>
      <xdr:rowOff>178593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E8D93D5-1753-4EF5-A154-0FC3997DBDF2}"/>
            </a:ext>
          </a:extLst>
        </xdr:cNvPr>
        <xdr:cNvCxnSpPr/>
      </xdr:nvCxnSpPr>
      <xdr:spPr>
        <a:xfrm>
          <a:off x="3274219" y="1166812"/>
          <a:ext cx="1428750" cy="762000"/>
        </a:xfrm>
        <a:prstGeom prst="straightConnector1">
          <a:avLst/>
        </a:prstGeom>
        <a:ln w="28575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28" sqref="B28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09" t="str">
        <f>O9&amp;R9&amp;IF(X8="G","G","")&amp;IF(O8="Centrefold Roll","("&amp;E8&amp;")","")&amp;T9&amp;V9&amp;C22&amp;C23&amp;C24&amp;O11&amp;R11</f>
        <v>PB380600800</v>
      </c>
      <c r="C1" s="109"/>
      <c r="D1" s="110"/>
      <c r="E1" s="9" t="s">
        <v>57</v>
      </c>
      <c r="F1" s="61" t="s">
        <v>194</v>
      </c>
      <c r="G1" s="61"/>
      <c r="H1" s="62"/>
      <c r="I1" s="10" t="s">
        <v>181</v>
      </c>
      <c r="J1" s="120">
        <f ca="1">TODAY()</f>
        <v>45680</v>
      </c>
      <c r="K1" s="120"/>
      <c r="L1" s="121"/>
      <c r="M1" s="27"/>
      <c r="N1" s="9" t="s">
        <v>56</v>
      </c>
      <c r="O1" s="109" t="str">
        <f>B1</f>
        <v>PB380600800</v>
      </c>
      <c r="P1" s="109"/>
      <c r="Q1" s="110"/>
      <c r="R1" s="9" t="s">
        <v>57</v>
      </c>
      <c r="S1" s="109" t="str">
        <f>F1</f>
        <v>TRIPLE M</v>
      </c>
      <c r="T1" s="109"/>
      <c r="U1" s="110"/>
      <c r="V1" s="9" t="s">
        <v>181</v>
      </c>
      <c r="W1" s="120">
        <f ca="1">J1</f>
        <v>45680</v>
      </c>
      <c r="X1" s="120"/>
      <c r="Y1" s="121"/>
    </row>
    <row r="2" spans="1:25" ht="20.100000000000001" customHeight="1" x14ac:dyDescent="0.25">
      <c r="A2" s="9" t="s">
        <v>100</v>
      </c>
      <c r="B2" s="109" t="str">
        <f>IF(U10="","",U10)</f>
        <v>2PBPSE</v>
      </c>
      <c r="C2" s="109"/>
      <c r="D2" s="110"/>
      <c r="E2" s="9" t="s">
        <v>58</v>
      </c>
      <c r="F2" s="61">
        <v>58132</v>
      </c>
      <c r="G2" s="61"/>
      <c r="H2" s="62"/>
      <c r="I2" s="9" t="s">
        <v>59</v>
      </c>
      <c r="J2" s="123">
        <v>45477</v>
      </c>
      <c r="K2" s="61"/>
      <c r="L2" s="62"/>
      <c r="M2" s="27"/>
      <c r="N2" s="9" t="s">
        <v>100</v>
      </c>
      <c r="O2" s="109" t="str">
        <f>IF(B2="","",B2)</f>
        <v>2PBPSE</v>
      </c>
      <c r="P2" s="109"/>
      <c r="Q2" s="110"/>
      <c r="R2" s="9" t="s">
        <v>58</v>
      </c>
      <c r="S2" s="109">
        <f>IF(F2="","",F2)</f>
        <v>58132</v>
      </c>
      <c r="T2" s="109"/>
      <c r="U2" s="110"/>
      <c r="V2" s="9" t="s">
        <v>59</v>
      </c>
      <c r="W2" s="122">
        <f>J2</f>
        <v>45477</v>
      </c>
      <c r="X2" s="109"/>
      <c r="Y2" s="110"/>
    </row>
    <row r="3" spans="1:25" ht="20.100000000000001" customHeight="1" x14ac:dyDescent="0.25">
      <c r="A3" s="111" t="s">
        <v>202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7"/>
      <c r="N3" s="111" t="str">
        <f>A3</f>
        <v>RUN @ 75UM - LABEL AT 80UM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7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7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9" t="s">
        <v>49</v>
      </c>
      <c r="B7" s="101" t="s">
        <v>163</v>
      </c>
      <c r="C7" s="101"/>
      <c r="D7" s="101"/>
      <c r="E7" s="101"/>
      <c r="F7" s="101"/>
      <c r="G7" s="101"/>
      <c r="H7" s="101"/>
      <c r="I7" s="102"/>
      <c r="J7" s="66" t="s">
        <v>179</v>
      </c>
      <c r="K7" s="66"/>
      <c r="L7" s="67"/>
      <c r="M7" s="27"/>
      <c r="N7" s="9" t="str">
        <f>IF(ISNUMBER(SEARCH("roll",O8,1)),"No. Rolls","No. Cartons")</f>
        <v>No. Cartons</v>
      </c>
      <c r="O7" s="61">
        <v>80</v>
      </c>
      <c r="P7" s="62"/>
      <c r="Q7" s="9" t="str">
        <f>IF(ISNUMBER(SEARCH("roll",O8,1)),"Per Roll","Per Carton")</f>
        <v>Per Carton</v>
      </c>
      <c r="R7" s="61">
        <v>250</v>
      </c>
      <c r="S7" s="62"/>
      <c r="T7" s="9" t="str">
        <f>IF(ISNUMBER(SEARCH("bag",O8,1)),"Total Bags","Total Sheets")</f>
        <v>Total Bags</v>
      </c>
      <c r="U7" s="109">
        <f>R7*O7</f>
        <v>20000</v>
      </c>
      <c r="V7" s="110"/>
      <c r="W7" s="9" t="s">
        <v>102</v>
      </c>
      <c r="X7" s="61" t="s">
        <v>31</v>
      </c>
      <c r="Y7" s="62"/>
    </row>
    <row r="8" spans="1:25" ht="20.100000000000001" customHeight="1" x14ac:dyDescent="0.25">
      <c r="A8" s="11" t="s">
        <v>16</v>
      </c>
      <c r="B8" s="97">
        <f>R9</f>
        <v>380</v>
      </c>
      <c r="C8" s="98"/>
      <c r="D8" s="25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1" t="s">
        <v>52</v>
      </c>
      <c r="H8" s="97">
        <f>(IF(V9&lt;30,"30",V9))</f>
        <v>80</v>
      </c>
      <c r="I8" s="98"/>
      <c r="J8" s="9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7"/>
      <c r="N8" s="12" t="s">
        <v>54</v>
      </c>
      <c r="O8" s="99" t="s">
        <v>164</v>
      </c>
      <c r="P8" s="100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00000000000001" customHeight="1" x14ac:dyDescent="0.3">
      <c r="A9" s="14" t="s">
        <v>48</v>
      </c>
      <c r="B9" s="126" t="s">
        <v>197</v>
      </c>
      <c r="C9" s="127"/>
      <c r="D9" s="134" t="str">
        <f>IF(K10="Middle","RUN 2 UP",IF(AND(O8="Centrefold Roll",B8=380),"RUN 2 UP",""))</f>
        <v/>
      </c>
      <c r="E9" s="101"/>
      <c r="F9" s="102"/>
      <c r="G9" s="14" t="s">
        <v>48</v>
      </c>
      <c r="H9" s="126" t="s">
        <v>195</v>
      </c>
      <c r="I9" s="127"/>
      <c r="J9" s="9" t="s">
        <v>55</v>
      </c>
      <c r="K9" s="61" t="s">
        <v>30</v>
      </c>
      <c r="L9" s="62"/>
      <c r="M9" s="27"/>
      <c r="N9" s="15"/>
      <c r="O9" s="103" t="str">
        <f>IF(O8="Poly Bag","PB",IF(O8="Poly Bag Roll","PBR",IF(O8="Centrefold Roll","CFR",IF(O8="Sheet","S",IF(O8="Sheet Roll","SR")))))</f>
        <v>PB</v>
      </c>
      <c r="P9" s="104"/>
      <c r="Q9" s="15"/>
      <c r="R9" s="28">
        <v>380</v>
      </c>
      <c r="S9" s="16" t="s">
        <v>78</v>
      </c>
      <c r="T9" s="28">
        <v>600</v>
      </c>
      <c r="U9" s="16" t="s">
        <v>78</v>
      </c>
      <c r="V9" s="28">
        <v>80</v>
      </c>
      <c r="W9" s="15"/>
      <c r="X9" s="87"/>
      <c r="Y9" s="88"/>
    </row>
    <row r="10" spans="1:25" ht="20.100000000000001" customHeight="1" x14ac:dyDescent="0.25">
      <c r="A10" s="9" t="s">
        <v>51</v>
      </c>
      <c r="B10" s="61">
        <v>24</v>
      </c>
      <c r="C10" s="62"/>
      <c r="D10" s="45" t="s">
        <v>134</v>
      </c>
      <c r="E10" s="128">
        <f>IF(ISNUMBER(SEARCH("sheet",O8,1)),((R9*T9*H8/540000)*U7/2000*1.3),((R9*T9*H8/540000)*U7/1000*1.08))</f>
        <v>729.60000000000014</v>
      </c>
      <c r="F10" s="129"/>
      <c r="G10" s="9" t="s">
        <v>53</v>
      </c>
      <c r="H10" s="132">
        <f>IF(ISNUMBER(SEARCH("sheet",O8,1)),(U7*T9/2000*1.08),(U7*T9/1000*1.08))</f>
        <v>12960</v>
      </c>
      <c r="I10" s="133"/>
      <c r="J10" s="9" t="s">
        <v>41</v>
      </c>
      <c r="K10" s="61" t="s">
        <v>44</v>
      </c>
      <c r="L10" s="62"/>
      <c r="M10" s="27"/>
      <c r="N10" s="12" t="s">
        <v>141</v>
      </c>
      <c r="O10" s="99" t="s">
        <v>44</v>
      </c>
      <c r="P10" s="100"/>
      <c r="Q10" s="12" t="s">
        <v>50</v>
      </c>
      <c r="R10" s="95" t="str">
        <f>IF(K11="NONE","None",IF(K11="INLINE","Yes",IF(K11="OUT OF LINE","Yes")))</f>
        <v>None</v>
      </c>
      <c r="S10" s="95"/>
      <c r="T10" s="12" t="s">
        <v>100</v>
      </c>
      <c r="U10" s="105" t="s">
        <v>196</v>
      </c>
      <c r="V10" s="105"/>
      <c r="W10" s="105"/>
      <c r="X10" s="105"/>
      <c r="Y10" s="106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9" t="s">
        <v>135</v>
      </c>
      <c r="E11" s="130">
        <f>E10/B10</f>
        <v>30.400000000000006</v>
      </c>
      <c r="F11" s="131"/>
      <c r="G11" s="9" t="s">
        <v>15</v>
      </c>
      <c r="H11" s="130">
        <f>H10/B10</f>
        <v>540</v>
      </c>
      <c r="I11" s="131"/>
      <c r="J11" s="9" t="s">
        <v>50</v>
      </c>
      <c r="K11" s="61" t="s">
        <v>44</v>
      </c>
      <c r="L11" s="62"/>
      <c r="M11" s="27"/>
      <c r="N11" s="11"/>
      <c r="O11" s="97" t="str">
        <f>IF(O10="NONE","","V")</f>
        <v/>
      </c>
      <c r="P11" s="98"/>
      <c r="Q11" s="11"/>
      <c r="R11" s="97" t="str">
        <f>IF(R10="None","","P")</f>
        <v/>
      </c>
      <c r="S11" s="98"/>
      <c r="T11" s="11"/>
      <c r="U11" s="107"/>
      <c r="V11" s="107"/>
      <c r="W11" s="107"/>
      <c r="X11" s="107"/>
      <c r="Y11" s="108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9" t="s">
        <v>68</v>
      </c>
      <c r="B13" s="61" t="s">
        <v>44</v>
      </c>
      <c r="C13" s="61"/>
      <c r="D13" s="62"/>
      <c r="E13" s="17" t="s">
        <v>61</v>
      </c>
      <c r="F13" s="61" t="s">
        <v>44</v>
      </c>
      <c r="G13" s="61"/>
      <c r="H13" s="62"/>
      <c r="I13" s="9" t="s">
        <v>62</v>
      </c>
      <c r="J13" s="61" t="s">
        <v>44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80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38" t="s">
        <v>4</v>
      </c>
      <c r="F16" s="138"/>
      <c r="G16" s="138" t="s">
        <v>5</v>
      </c>
      <c r="H16" s="138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>
        <v>110</v>
      </c>
      <c r="P16" s="62"/>
      <c r="Q16" s="9" t="s">
        <v>105</v>
      </c>
      <c r="R16" s="61" t="s">
        <v>23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3" t="s">
        <v>147</v>
      </c>
      <c r="D17" s="94"/>
      <c r="E17" s="58"/>
      <c r="F17" s="59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35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23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3" t="s">
        <v>146</v>
      </c>
      <c r="D18" s="94"/>
      <c r="E18" s="58"/>
      <c r="F18" s="59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38</v>
      </c>
      <c r="P18" s="62"/>
      <c r="Q18" s="9" t="s">
        <v>106</v>
      </c>
      <c r="R18" s="61" t="s">
        <v>31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3" t="s">
        <v>145</v>
      </c>
      <c r="D19" s="94"/>
      <c r="E19" s="58"/>
      <c r="F19" s="59"/>
      <c r="G19" s="46" t="s">
        <v>83</v>
      </c>
      <c r="H19" s="30"/>
      <c r="I19" s="58"/>
      <c r="J19" s="59"/>
      <c r="K19" s="58"/>
      <c r="L19" s="59"/>
      <c r="M19" s="27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3" t="s">
        <v>144</v>
      </c>
      <c r="D20" s="94"/>
      <c r="E20" s="58"/>
      <c r="F20" s="59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3" t="s">
        <v>143</v>
      </c>
      <c r="D21" s="94"/>
      <c r="E21" s="58"/>
      <c r="F21" s="59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/>
      </c>
      <c r="B22" s="60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58"/>
      <c r="F22" s="59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39" t="s">
        <v>203</v>
      </c>
      <c r="B23" s="139"/>
      <c r="C23" s="93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4"/>
      <c r="E23" s="89" t="s">
        <v>204</v>
      </c>
      <c r="F23" s="90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40"/>
      <c r="B24" s="141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58"/>
      <c r="F24" s="59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198</v>
      </c>
      <c r="P25" s="32"/>
      <c r="Q25" s="8" t="s">
        <v>199</v>
      </c>
      <c r="R25" s="8"/>
      <c r="S25" s="8"/>
      <c r="T25" s="8"/>
      <c r="U25" s="8"/>
      <c r="V25" s="8"/>
      <c r="W25" s="8" t="s">
        <v>200</v>
      </c>
      <c r="X25" s="8" t="s">
        <v>201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2" t="s">
        <v>132</v>
      </c>
      <c r="H26" s="92"/>
      <c r="I26" s="92" t="s">
        <v>131</v>
      </c>
      <c r="J26" s="92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0" t="s">
        <v>96</v>
      </c>
      <c r="B27" s="7"/>
      <c r="C27" s="7"/>
      <c r="D27" s="7">
        <v>17</v>
      </c>
      <c r="E27" s="57">
        <v>4</v>
      </c>
      <c r="F27" s="7"/>
      <c r="G27" s="91"/>
      <c r="H27" s="91"/>
      <c r="I27" s="91"/>
      <c r="J27" s="91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205</v>
      </c>
      <c r="C28" s="7"/>
      <c r="D28" s="8">
        <v>31</v>
      </c>
      <c r="E28" s="57">
        <v>2.4</v>
      </c>
      <c r="F28" s="7"/>
      <c r="G28" s="91"/>
      <c r="H28" s="91"/>
      <c r="I28" s="91"/>
      <c r="J28" s="91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135" t="s">
        <v>136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45711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45701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2996168-48A2-4524-837D-965A215E5A10}"/>
</file>

<file path=customXml/itemProps2.xml><?xml version="1.0" encoding="utf-8"?>
<ds:datastoreItem xmlns:ds="http://schemas.openxmlformats.org/officeDocument/2006/customXml" ds:itemID="{0B1BE190-0217-4F85-A3B1-B18D0005CAAA}"/>
</file>

<file path=customXml/itemProps3.xml><?xml version="1.0" encoding="utf-8"?>
<ds:datastoreItem xmlns:ds="http://schemas.openxmlformats.org/officeDocument/2006/customXml" ds:itemID="{2BCE4A16-8FAF-489B-91DE-E1B4B73428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2024-06-04T01:01:53Z</cp:lastPrinted>
  <dcterms:created xsi:type="dcterms:W3CDTF">2019-11-27T23:28:06Z</dcterms:created>
  <dcterms:modified xsi:type="dcterms:W3CDTF">2025-01-23T04:01:47Z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