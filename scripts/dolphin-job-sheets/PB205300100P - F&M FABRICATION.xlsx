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4258691-FA4E-4E7D-8F29-8FDC999293EF}" xr6:coauthVersionLast="45" xr6:coauthVersionMax="45" xr10:uidLastSave="{00000000-0000-0000-0000-000000000000}"/>
  <bookViews>
    <workbookView xWindow="60" yWindow="1230" windowWidth="28740" windowHeight="1437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<sst xmlns="http://schemas.openxmlformats.org/spreadsheetml/2006/main" count="303" uniqueCount="199">
  <si>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</si>
  <si>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</si>
  <si>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</si>
  <si>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</si>
  <si>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</si>
  <si>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</si>
  <si>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</si>
  <si>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</si>
  <si>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</si>
  <si>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</si>
  <si>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</si>
  <si>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</si>
  <si>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</si>
  <si>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</si>
  <si>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</si>
  <si>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</si>
  <si>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</si>
  <si>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</si>
  <si>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</si>
  <si>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</si>
  <si>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</si>
  <si>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</si>
  <si>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</si>
  <si>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</si>
  <si>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</si>
  <si>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</si>
  <si>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</si>
  <si>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</si>
  <si>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</si>
  <si>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</si>
  <si>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</si>
  <si>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</si>
  <si>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</si>
  <si>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</si>
  <si>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</si>
  <si>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</si>
  <si>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</si>
  <si>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</si>
  <si>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</si>
  <si>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</si>
  <si>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</si>
  <si>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</si>
  <si>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</si>
  <si>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</si>
  <si>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</si>
  <si>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</si>
  <si>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</si>
  <si>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</si>
  <si>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</si>
  <si>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</si>
  <si>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</si>
  <si>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</si>
  <si>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</si>
  <si>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</si>
  <si>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</si>
  <si>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</si>
  <si>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</si>
  <si>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</si>
  <si>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</si>
  <si>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</si>
  <si>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</si>
  <si>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</si>
  <si>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</si>
  <si>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</si>
  <si>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</si>
  <si>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</si>
  <si>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</si>
  <si>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</si>
  <si>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</si>
  <si>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</si>
  <si>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</si>
  <si>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</si>
  <si>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</si>
  <si>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</si>
  <si>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</si>
  <si>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</si>
  <si>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</si>
  <si>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</si>
  <si>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</si>
  <si>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</si>
  <si>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</si>
  <si>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</si>
  <si>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</si>
  <si>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</si>
  <si>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</si>
  <si>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</si>
  <si>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</si>
  <si>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</si>
  <si>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</si>
  <si>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</si>
  <si>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</si>
  <si>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</si>
  <si>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</si>
  <si>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</si>
  <si>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</si>
  <si>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</si>
  <si>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</si>
  <si>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</si>
  <si>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</si>
  <si>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</si>
  <si>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</si>
  <si>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</si>
  <si>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</si>
  <si>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</si>
  <si>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</si>
  <si>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</si>
  <si>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</si>
  <si>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</si>
  <si>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</si>
  <si>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</si>
  <si>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</si>
  <si>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</si>
  <si>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</si>
  <si>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</si>
  <si>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</si>
  <si>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</si>
  <si>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</si>
  <si>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</si>
  <si>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</si>
  <si>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</si>
  <si>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</si>
  <si>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</si>
  <si>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</si>
  <si>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</si>
  <si>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</si>
  <si>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</si>
  <si>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</si>
  <si>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</si>
  <si>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</si>
  <si>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</si>
  <si>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</si>
  <si>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</si>
  <si>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</si>
  <si>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</si>
  <si>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</si>
  <si>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</si>
  <si>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</si>
  <si>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</si>
  <si>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</si>
  <si>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</si>
  <si>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</si>
  <si>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</si>
  <si>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</si>
  <si>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</si>
  <si>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</si>
  <si>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</si>
  <si>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</si>
  <si>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</si>
  <si>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</si>
  <si>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</si>
  <si>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</si>
  <si>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</si>
  <si>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</si>
  <si>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</si>
  <si>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</si>
  <si>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</si>
  <si>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</si>
  <si>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</si>
  <si>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</si>
  <si>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</si>
  <si>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</si>
  <si>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</si>
  <si>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</si>
  <si>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</si>
  <si>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</si>
  <si>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</si>
  <si>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</si>
  <si>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</si>
  <si>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</si>
  <si>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</si>
  <si>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</si>
  <si>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</si>
  <si>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</si>
  <si>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</si>
  <si>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</si>
  <si>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</si>
  <si>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</si>
  <si>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</si>
  <si>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</si>
  <si>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</si>
  <si>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</si>
  <si>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</si>
  <si>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</si>
  <si>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</si>
  <si>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</si>
  <si>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</si>
  <si>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</si>
  <si>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</si>
  <si>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</si>
  <si>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</si>
  <si>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</si>
  <si>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</si>
  <si>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</si>
  <si>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</si>
  <si>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</si>
  <si>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"F&amp;M FABRICATION"</t>
  </si>
  <si>
    <t>ABL</t>
  </si>
  <si>
    <t>RUN AT 95um</t>
  </si>
  <si>
    <t xml:space="preserve">LIMAX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</si>
</sst>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PB205300100P</v>
      </c>
      <c r="C1" s="123"/>
      <c r="D1" s="124"/>
      <c r="E1" s="12" t="s">
        <v>57</v>
      </c>
      <c r="F1" s="134" t="s">
        <v>196</v>
      </c>
      <c r="G1" s="135"/>
      <c r="H1" s="136"/>
      <c r="I1" s="13" t="s">
        <v>181</v>
      </c>
      <c r="J1" s="137">
        <f ca="1">TODAY()</f>
        <v>44068</v>
      </c>
      <c r="K1" s="137"/>
      <c r="L1" s="138"/>
      <c r="M1" s="34"/>
      <c r="N1" s="12" t="s">
        <v>56</v>
      </c>
      <c r="O1" s="123" t="str">
        <f>B1</f>
        <v>PB205300100P</v>
      </c>
      <c r="P1" s="123"/>
      <c r="Q1" s="124"/>
      <c r="R1" s="12" t="s">
        <v>57</v>
      </c>
      <c r="S1" s="123" t="str">
        <f>F1</f>
        <v>ABL</v>
      </c>
      <c r="T1" s="123"/>
      <c r="U1" s="124"/>
      <c r="V1" s="12" t="s">
        <v>181</v>
      </c>
      <c r="W1" s="137">
        <f ca="1">J1</f>
        <v>44068</v>
      </c>
      <c r="X1" s="137"/>
      <c r="Y1" s="138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937676</v>
      </c>
      <c r="G2" s="73"/>
      <c r="H2" s="74"/>
      <c r="I2" s="12" t="s">
        <v>59</v>
      </c>
      <c r="J2" s="140">
        <v>44039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937676</v>
      </c>
      <c r="T2" s="123"/>
      <c r="U2" s="124"/>
      <c r="V2" s="12" t="s">
        <v>59</v>
      </c>
      <c r="W2" s="139">
        <f>J2</f>
        <v>44039</v>
      </c>
      <c r="X2" s="123"/>
      <c r="Y2" s="124"/>
    </row>
    <row r="3" spans="1:28" ht="20.100000000000001" customHeight="1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10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10000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205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197</v>
      </c>
      <c r="I9" s="145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205</v>
      </c>
      <c r="S9" s="20" t="s">
        <v>78</v>
      </c>
      <c r="T9" s="35">
        <v>300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8</v>
      </c>
      <c r="C10" s="74"/>
      <c r="D10" s="54" t="s">
        <v>134</v>
      </c>
      <c r="E10" s="146">
        <f>IF(ISNUMBER(SEARCH("sheet",O8,1)),((R9*T9*H8/540000)*U7/2000*1.3),((R9*T9*H8/540000)*U7/1000*1.08))</f>
        <v>123</v>
      </c>
      <c r="F10" s="147"/>
      <c r="G10" s="12" t="s">
        <v>53</v>
      </c>
      <c r="H10" s="150">
        <f>IF(ISNUMBER(SEARCH("sheet",O8,1)),(U7*T9/2000*1.08),(U7*T9/1000*1.08))</f>
        <v>3240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Yes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8">
        <f>E10/B10</f>
        <v>15.375</v>
      </c>
      <c r="F11" s="149"/>
      <c r="G11" s="12" t="s">
        <v>15</v>
      </c>
      <c r="H11" s="148">
        <f>H10/B10</f>
        <v>405</v>
      </c>
      <c r="I11" s="149"/>
      <c r="J11" s="12" t="s">
        <v>50</v>
      </c>
      <c r="K11" s="73" t="s">
        <v>65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>P</v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69</v>
      </c>
      <c r="C13" s="73"/>
      <c r="D13" s="74"/>
      <c r="E13" s="22" t="s">
        <v>61</v>
      </c>
      <c r="F13" s="73" t="s">
        <v>66</v>
      </c>
      <c r="G13" s="73"/>
      <c r="H13" s="74"/>
      <c r="I13" s="23" t="s">
        <v>62</v>
      </c>
      <c r="J13" s="73" t="s">
        <v>150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 t="s">
        <v>195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3" t="s">
        <v>116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5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8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1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44099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44089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636AFA4-6B95-4695-9F94-D5EB9FF811BF}"/>
</file>

<file path=customXml/itemProps2.xml><?xml version="1.0" encoding="utf-8"?>
<ds:datastoreItem xmlns:ds="http://schemas.openxmlformats.org/officeDocument/2006/customXml" ds:itemID="{04013F99-072F-4436-A7EE-78B6D2A4CEC9}"/>
</file>

<file path=customXml/itemProps3.xml><?xml version="1.0" encoding="utf-8"?>
<ds:datastoreItem xmlns:ds="http://schemas.openxmlformats.org/officeDocument/2006/customXml" ds:itemID="{B09D3588-285C-4A5A-90DA-32191D65B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2020-07-06T01:27:38Z</cp:lastPrinted>
  <dcterms:created xsi:type="dcterms:W3CDTF">2019-11-27T23:28:06Z</dcterms:created>
  <dcterms:modified xsi:type="dcterms:W3CDTF">2020-08-24T23:37:27Z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