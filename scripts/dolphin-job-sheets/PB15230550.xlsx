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3CA8EF4-AC25-4B4E-B592-75110B386843}" xr6:coauthVersionLast="44" xr6:coauthVersionMax="44" xr10:uidLastSave="{00000000-0000-0000-0000-000000000000}"/>
  <bookViews>
    <workbookView xWindow="75" yWindow="630" windowWidth="28725" windowHeight="1497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<sst xmlns="http://schemas.openxmlformats.org/spreadsheetml/2006/main" count="304" uniqueCount="199">
  <si>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</si>
  <si>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</si>
  <si>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</si>
  <si>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</si>
  <si>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</si>
  <si>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</si>
  <si>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</si>
  <si>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</si>
  <si>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</si>
  <si>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</si>
  <si>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</si>
  <si>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</si>
  <si>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</si>
  <si>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</si>
  <si>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</si>
  <si>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</si>
  <si>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</si>
  <si>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</si>
  <si>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</si>
  <si>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</si>
  <si>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</si>
  <si>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</si>
  <si>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</si>
  <si>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</si>
  <si>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</si>
  <si>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</si>
  <si>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</si>
  <si>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</si>
  <si>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</si>
  <si>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</si>
  <si>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</si>
  <si>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</si>
  <si>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</si>
  <si>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</si>
  <si>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</si>
  <si>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</si>
  <si>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</si>
  <si>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</si>
  <si>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</si>
  <si>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</si>
  <si>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</si>
  <si>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</si>
  <si>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</si>
  <si>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</si>
  <si>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</si>
  <si>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</si>
  <si>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</si>
  <si>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</si>
  <si>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</si>
  <si>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</si>
  <si>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</si>
  <si>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</si>
  <si>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</si>
  <si>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</si>
  <si>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</si>
  <si>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</si>
  <si>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</si>
  <si>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</si>
  <si>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</si>
  <si>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</si>
  <si>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</si>
  <si>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</si>
  <si>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</si>
  <si>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</si>
  <si>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</si>
  <si>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</si>
  <si>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</si>
  <si>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</si>
  <si>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</si>
  <si>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</si>
  <si>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</si>
  <si>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</si>
  <si>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</si>
  <si>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</si>
  <si>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</si>
  <si>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</si>
  <si>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</si>
  <si>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</si>
  <si>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</si>
  <si>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</si>
  <si>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</si>
  <si>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</si>
  <si>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</si>
  <si>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</si>
  <si>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</si>
  <si>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</si>
  <si>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</si>
  <si>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</si>
  <si>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</si>
  <si>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</si>
  <si>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</si>
  <si>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</si>
  <si>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</si>
  <si>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</si>
  <si>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</si>
  <si>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</si>
  <si>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</si>
  <si>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</si>
  <si>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</si>
  <si>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</si>
  <si>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</si>
  <si>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</si>
  <si>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</si>
  <si>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</si>
  <si>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</si>
  <si>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</si>
  <si>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</si>
  <si>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</si>
  <si>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</si>
  <si>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</si>
  <si>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</si>
  <si>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</si>
  <si>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</si>
  <si>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</si>
  <si>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</si>
  <si>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</si>
  <si>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</si>
  <si>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</si>
  <si>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</si>
  <si>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</si>
  <si>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</si>
  <si>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</si>
  <si>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</si>
  <si>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</si>
  <si>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</si>
  <si>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</si>
  <si>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</si>
  <si>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</si>
  <si>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</si>
  <si>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</si>
  <si>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</si>
  <si>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</si>
  <si>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</si>
  <si>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</si>
  <si>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</si>
  <si>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</si>
  <si>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</si>
  <si>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</si>
  <si>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</si>
  <si>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</si>
  <si>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</si>
  <si>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</si>
  <si>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</si>
  <si>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</si>
  <si>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</si>
  <si>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</si>
  <si>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</si>
  <si>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</si>
  <si>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</si>
  <si>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</si>
  <si>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</si>
  <si>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</si>
  <si>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</si>
  <si>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</si>
  <si>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</si>
  <si>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</si>
  <si>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</si>
  <si>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</si>
  <si>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</si>
  <si>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</si>
  <si>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</si>
  <si>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</si>
  <si>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</si>
  <si>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</si>
  <si>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</si>
  <si>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</si>
  <si>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</si>
  <si>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</si>
  <si>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</si>
  <si>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</si>
  <si>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</si>
  <si>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</si>
  <si>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</si>
  <si>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</si>
  <si>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</si>
  <si>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</si>
  <si>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</si>
  <si>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</si>
  <si>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</si>
  <si>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</si>
  <si>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</si>
  <si>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</si>
  <si>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</si>
  <si>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</si>
  <si>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</si>
  <si>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</si>
  <si>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</si>
  <si>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</si>
  <si>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</si>
  <si>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</si>
  <si>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</si>
  <si>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</si>
  <si>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</si>
  <si>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</si>
  <si>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</si>
  <si>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100% REEF SAFE</t>
  </si>
  <si>
    <t>NEW ITEM - MUST HAVE WATER TIGHT SEALS</t>
  </si>
  <si>
    <t>NOT OVER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</si>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</sst>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PB15230550</v>
      </c>
      <c r="C1" s="123"/>
      <c r="D1" s="124"/>
      <c r="E1" s="12" t="s">
        <v>57</v>
      </c>
      <c r="F1" s="134" t="s">
        <v>195</v>
      </c>
      <c r="G1" s="135"/>
      <c r="H1" s="136"/>
      <c r="I1" s="13" t="s">
        <v>181</v>
      </c>
      <c r="J1" s="137">
        <f ca="1">TODAY()</f>
        <v>44014</v>
      </c>
      <c r="K1" s="137"/>
      <c r="L1" s="138"/>
      <c r="M1" s="34"/>
      <c r="N1" s="12" t="s">
        <v>56</v>
      </c>
      <c r="O1" s="123" t="str">
        <f>B1</f>
        <v>PB15230550</v>
      </c>
      <c r="P1" s="123"/>
      <c r="Q1" s="124"/>
      <c r="R1" s="12" t="s">
        <v>57</v>
      </c>
      <c r="S1" s="123" t="str">
        <f>F1</f>
        <v>100% REEF SAFE</v>
      </c>
      <c r="T1" s="123"/>
      <c r="U1" s="124"/>
      <c r="V1" s="12" t="s">
        <v>181</v>
      </c>
      <c r="W1" s="137">
        <f ca="1">J1</f>
        <v>44014</v>
      </c>
      <c r="X1" s="137"/>
      <c r="Y1" s="138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937498</v>
      </c>
      <c r="G2" s="73"/>
      <c r="H2" s="74"/>
      <c r="I2" s="12" t="s">
        <v>59</v>
      </c>
      <c r="J2" s="140" t="s">
        <v>192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937498</v>
      </c>
      <c r="T2" s="123"/>
      <c r="U2" s="124"/>
      <c r="V2" s="12" t="s">
        <v>59</v>
      </c>
      <c r="W2" s="139" t="str">
        <f>J2</f>
        <v>ASAP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 - MUST HAVE WATER TIGHT SEALS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7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14000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152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194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197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152</v>
      </c>
      <c r="S9" s="20" t="s">
        <v>78</v>
      </c>
      <c r="T9" s="35">
        <v>305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7</v>
      </c>
      <c r="C10" s="74"/>
      <c r="D10" s="54" t="s">
        <v>134</v>
      </c>
      <c r="E10" s="146">
        <f>IF(ISNUMBER(SEARCH("sheet",O8,1)),((R9*T9*H8/540000)*U7/2000*1.3),((R9*T9*H8/540000)*U7/1000*1.08))</f>
        <v>64.904000000000011</v>
      </c>
      <c r="F10" s="147"/>
      <c r="G10" s="12" t="s">
        <v>53</v>
      </c>
      <c r="H10" s="150">
        <f>IF(ISNUMBER(SEARCH("sheet",O8,1)),(U7*T9/2000*1.08),(U7*T9/1000*1.08))</f>
        <v>4611.6000000000004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9.272000000000002</v>
      </c>
      <c r="F11" s="149"/>
      <c r="G11" s="12" t="s">
        <v>15</v>
      </c>
      <c r="H11" s="148">
        <f>H10/B10</f>
        <v>658.80000000000007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7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44035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0C57E48-4EA7-46DE-A73D-0C6838781E84}"/>
</file>

<file path=customXml/itemProps2.xml><?xml version="1.0" encoding="utf-8"?>
<ds:datastoreItem xmlns:ds="http://schemas.openxmlformats.org/officeDocument/2006/customXml" ds:itemID="{1BC09E46-E08A-4157-B842-C07F4792C42F}"/>
</file>

<file path=customXml/itemProps3.xml><?xml version="1.0" encoding="utf-8"?>
<ds:datastoreItem xmlns:ds="http://schemas.openxmlformats.org/officeDocument/2006/customXml" ds:itemID="{76968E52-AC25-48D1-80D0-2AD31F62F3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2020-06-11T01:24:42Z</cp:lastPrinted>
  <dcterms:created xsi:type="dcterms:W3CDTF">2019-11-27T23:28:06Z</dcterms:created>
  <dcterms:modified xsi:type="dcterms:W3CDTF">2020-07-01T22:28:03Z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