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28A67FC-955A-4D34-8C30-2304CB9FF0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<sst xmlns="http://schemas.openxmlformats.org/spreadsheetml/2006/main" count="309" uniqueCount="204">
  <si>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</si>
  <si>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</si>
  <si>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</si>
  <si>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</si>
  <si>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</si>
  <si>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</si>
  <si>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</si>
  <si>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</si>
  <si>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</si>
  <si>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</si>
  <si>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</si>
  <si>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</si>
  <si>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</si>
  <si>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</si>
  <si>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</si>
  <si>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</si>
  <si>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</si>
  <si>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</si>
  <si>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</si>
  <si>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</si>
  <si>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</si>
  <si>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</si>
  <si>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</si>
  <si>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</si>
  <si>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</si>
  <si>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</si>
  <si>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</si>
  <si>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</si>
  <si>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</si>
  <si>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</si>
  <si>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</si>
  <si>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</si>
  <si>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</si>
  <si>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</si>
  <si>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</si>
  <si>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</si>
  <si>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</si>
  <si>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</si>
  <si>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</si>
  <si>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</si>
  <si>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</si>
  <si>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</si>
  <si>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</si>
  <si>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</si>
  <si>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</si>
  <si>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</si>
  <si>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</si>
  <si>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</si>
  <si>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</si>
  <si>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</si>
  <si>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</si>
  <si>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</si>
  <si>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</si>
  <si>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</si>
  <si>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</si>
  <si>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</si>
  <si>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</si>
  <si>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</si>
  <si>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</si>
  <si>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</si>
  <si>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</si>
  <si>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</si>
  <si>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</si>
  <si>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</si>
  <si>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</si>
  <si>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</si>
  <si>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</si>
  <si>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</si>
  <si>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</si>
  <si>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</si>
  <si>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</si>
  <si>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</si>
  <si>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</si>
  <si>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</si>
  <si>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</si>
  <si>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</si>
  <si>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</si>
  <si>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</si>
  <si>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</si>
  <si>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</si>
  <si>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</si>
  <si>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</si>
  <si>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</si>
  <si>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</si>
  <si>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</si>
  <si>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</si>
  <si>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</si>
  <si>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</si>
  <si>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</si>
  <si>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</si>
  <si>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</si>
  <si>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</si>
  <si>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</si>
  <si>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</si>
  <si>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</si>
  <si>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</si>
  <si>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</si>
  <si>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</si>
  <si>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</si>
  <si>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</si>
  <si>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</si>
  <si>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</si>
  <si>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</si>
  <si>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</si>
  <si>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</si>
  <si>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</si>
  <si>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</si>
  <si>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</si>
  <si>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</si>
  <si>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</si>
  <si>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</si>
  <si>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</si>
  <si>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</si>
  <si>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</si>
  <si>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</si>
  <si>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</si>
  <si>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</si>
  <si>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</si>
  <si>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</si>
  <si>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</si>
  <si>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</si>
  <si>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</si>
  <si>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</si>
  <si>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</si>
  <si>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</si>
  <si>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</si>
  <si>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</si>
  <si>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</si>
  <si>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</si>
  <si>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</si>
  <si>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</si>
  <si>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</si>
  <si>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</si>
  <si>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</si>
  <si>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</si>
  <si>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</si>
  <si>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</si>
  <si>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</si>
  <si>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</si>
  <si>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</si>
  <si>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</si>
  <si>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</si>
  <si>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</si>
  <si>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</si>
  <si>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</si>
  <si>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</si>
  <si>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</si>
  <si>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</si>
  <si>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</si>
  <si>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</si>
  <si>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</si>
  <si>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</si>
  <si>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</si>
  <si>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</si>
  <si>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</si>
  <si>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</si>
  <si>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</si>
  <si>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</si>
  <si>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</si>
  <si>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</si>
  <si>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</si>
  <si>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</si>
  <si>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</si>
  <si>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</si>
  <si>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</si>
  <si>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</si>
  <si>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</si>
  <si>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</si>
  <si>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</si>
  <si>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</si>
  <si>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</si>
  <si>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</si>
  <si>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</si>
  <si>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</si>
  <si>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</si>
  <si>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</si>
  <si>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</si>
  <si>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</si>
  <si>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</si>
  <si>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</si>
  <si>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</si>
  <si>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</si>
  <si>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</si>
  <si>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</si>
  <si>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</si>
  <si>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</si>
  <si>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</si>
  <si>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</si>
  <si>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</si>
  <si>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</si>
  <si>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</si>
  <si>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</si>
  <si>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</si>
  <si>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</si>
  <si>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</si>
  <si>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RUN AT 95 - 100um</t>
  </si>
  <si>
    <t>COUNTRY FRIED CHICKEN</t>
  </si>
  <si>
    <t>PB230400100</t>
  </si>
  <si>
    <t>MUST BE SOLID RED - USE NEW PRINT PLATES</t>
  </si>
  <si>
    <t>" CHIP SALT" BAG - NEW PRINT PLATES</t>
  </si>
  <si>
    <t>%</t>
  </si>
  <si>
    <t>ANTIBLOCK</t>
  </si>
  <si>
    <t>#5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</si>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</sst>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9" t="str">
        <f>O9&amp;R9&amp;IF(X8="G","G","")&amp;IF(O8="Centrefold Roll","("&amp;E8&amp;")","")&amp;T9&amp;V9&amp;C22&amp;C23&amp;C24&amp;O11&amp;R11</f>
        <v>PB230405100R0P</v>
      </c>
      <c r="C1" s="109"/>
      <c r="D1" s="110"/>
      <c r="E1" s="10" t="s">
        <v>57</v>
      </c>
      <c r="F1" s="120" t="s">
        <v>196</v>
      </c>
      <c r="G1" s="61"/>
      <c r="H1" s="62"/>
      <c r="I1" s="11" t="s">
        <v>181</v>
      </c>
      <c r="J1" s="121">
        <f ca="1">TODAY()</f>
        <v>45513</v>
      </c>
      <c r="K1" s="121"/>
      <c r="L1" s="122"/>
      <c r="M1" s="28"/>
      <c r="N1" s="10" t="s">
        <v>56</v>
      </c>
      <c r="O1" s="109" t="str">
        <f>B1</f>
        <v>PB230405100R0P</v>
      </c>
      <c r="P1" s="109"/>
      <c r="Q1" s="110"/>
      <c r="R1" s="10" t="s">
        <v>57</v>
      </c>
      <c r="S1" s="109" t="str">
        <f>F1</f>
        <v>COUNTRY FRIED CHICKEN</v>
      </c>
      <c r="T1" s="109"/>
      <c r="U1" s="110"/>
      <c r="V1" s="10" t="s">
        <v>181</v>
      </c>
      <c r="W1" s="121">
        <f ca="1">J1</f>
        <v>45513</v>
      </c>
      <c r="X1" s="121"/>
      <c r="Y1" s="122"/>
    </row>
    <row r="2" spans="1:25" ht="20.100000000000001" customHeight="1" x14ac:dyDescent="0.25">
      <c r="A2" s="10" t="s">
        <v>100</v>
      </c>
      <c r="B2" s="109" t="str">
        <f>IF(U10="","",U10)</f>
        <v>PB230400100</v>
      </c>
      <c r="C2" s="109"/>
      <c r="D2" s="110"/>
      <c r="E2" s="10" t="s">
        <v>58</v>
      </c>
      <c r="F2" s="61">
        <v>948148</v>
      </c>
      <c r="G2" s="61"/>
      <c r="H2" s="62"/>
      <c r="I2" s="10" t="s">
        <v>59</v>
      </c>
      <c r="J2" s="124" t="s">
        <v>192</v>
      </c>
      <c r="K2" s="61"/>
      <c r="L2" s="62"/>
      <c r="M2" s="28"/>
      <c r="N2" s="10" t="s">
        <v>100</v>
      </c>
      <c r="O2" s="109" t="str">
        <f>IF(B2="","",B2)</f>
        <v>PB230400100</v>
      </c>
      <c r="P2" s="109"/>
      <c r="Q2" s="110"/>
      <c r="R2" s="10" t="s">
        <v>58</v>
      </c>
      <c r="S2" s="109">
        <f>IF(F2="","",F2)</f>
        <v>948148</v>
      </c>
      <c r="T2" s="109"/>
      <c r="U2" s="110"/>
      <c r="V2" s="10" t="s">
        <v>59</v>
      </c>
      <c r="W2" s="123" t="str">
        <f>J2</f>
        <v>ASAP</v>
      </c>
      <c r="X2" s="109"/>
      <c r="Y2" s="110"/>
    </row>
    <row r="3" spans="1:25" ht="20.100000000000001" customHeight="1" x14ac:dyDescent="0.25">
      <c r="A3" s="111" t="s">
        <v>198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8"/>
      <c r="N3" s="111" t="str">
        <f>A3</f>
        <v>MUST BE SOLID RED - USE NEW PRINT PLATES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8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8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101" t="s">
        <v>151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8</v>
      </c>
      <c r="P7" s="62"/>
      <c r="Q7" s="10" t="str">
        <f>IF(ISNUMBER(SEARCH("roll",O8,1)),"Per Roll","Per Carton")</f>
        <v>Per Carton</v>
      </c>
      <c r="R7" s="61">
        <v>1000</v>
      </c>
      <c r="S7" s="62"/>
      <c r="T7" s="10" t="str">
        <f>IF(ISNUMBER(SEARCH("bag",O8,1)),"Total Bags","Total Sheets")</f>
        <v>Total Bags</v>
      </c>
      <c r="U7" s="109">
        <f>R7*O7</f>
        <v>8000</v>
      </c>
      <c r="V7" s="110"/>
      <c r="W7" s="10" t="s">
        <v>102</v>
      </c>
      <c r="X7" s="61" t="s">
        <v>23</v>
      </c>
      <c r="Y7" s="62"/>
    </row>
    <row r="8" spans="1:25" ht="20.100000000000001" customHeight="1" x14ac:dyDescent="0.25">
      <c r="A8" s="12" t="s">
        <v>16</v>
      </c>
      <c r="B8" s="97">
        <f>R9</f>
        <v>230</v>
      </c>
      <c r="C8" s="98"/>
      <c r="D8" s="26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2" t="s">
        <v>52</v>
      </c>
      <c r="H8" s="97">
        <f>(IF(V9&lt;30,"30",V9))</f>
        <v>100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8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15" t="s">
        <v>48</v>
      </c>
      <c r="B9" s="127" t="s">
        <v>194</v>
      </c>
      <c r="C9" s="128"/>
      <c r="D9" s="135" t="str">
        <f>IF(K10="Middle","RUN 2 UP",IF(AND(O8="Centrefold Roll",B8=380),"RUN 2 UP",""))</f>
        <v/>
      </c>
      <c r="E9" s="101"/>
      <c r="F9" s="102"/>
      <c r="G9" s="15" t="s">
        <v>48</v>
      </c>
      <c r="H9" s="127" t="s">
        <v>195</v>
      </c>
      <c r="I9" s="128"/>
      <c r="J9" s="10" t="s">
        <v>55</v>
      </c>
      <c r="K9" s="61" t="s">
        <v>30</v>
      </c>
      <c r="L9" s="62"/>
      <c r="M9" s="28"/>
      <c r="N9" s="16"/>
      <c r="O9" s="103" t="str">
        <f>IF(O8="Poly Bag","PB",IF(O8="Poly Bag Roll","PBR",IF(O8="Centrefold Roll","CFR",IF(O8="Sheet","S",IF(O8="Sheet Roll","SR")))))</f>
        <v>PB</v>
      </c>
      <c r="P9" s="104"/>
      <c r="Q9" s="16"/>
      <c r="R9" s="29">
        <v>230</v>
      </c>
      <c r="S9" s="17" t="s">
        <v>78</v>
      </c>
      <c r="T9" s="29">
        <v>405</v>
      </c>
      <c r="U9" s="17" t="s">
        <v>78</v>
      </c>
      <c r="V9" s="29">
        <v>100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8</v>
      </c>
      <c r="C10" s="62"/>
      <c r="D10" s="46" t="s">
        <v>134</v>
      </c>
      <c r="E10" s="129">
        <f>IF(ISNUMBER(SEARCH("sheet",O8,1)),((R9*T9*H8/540000)*U7/2000*1.3),((R9*T9*H8/540000)*U7/1000*1.08))</f>
        <v>149.04000000000002</v>
      </c>
      <c r="F10" s="130"/>
      <c r="G10" s="10" t="s">
        <v>53</v>
      </c>
      <c r="H10" s="133">
        <f>IF(ISNUMBER(SEARCH("sheet",O8,1)),(U7*T9/2000*1.08),(U7*T9/1000*1.08))</f>
        <v>3499.2000000000003</v>
      </c>
      <c r="I10" s="134"/>
      <c r="J10" s="10" t="s">
        <v>41</v>
      </c>
      <c r="K10" s="61" t="s">
        <v>44</v>
      </c>
      <c r="L10" s="62"/>
      <c r="M10" s="28"/>
      <c r="N10" s="13" t="s">
        <v>141</v>
      </c>
      <c r="O10" s="99" t="s">
        <v>44</v>
      </c>
      <c r="P10" s="100"/>
      <c r="Q10" s="13" t="s">
        <v>50</v>
      </c>
      <c r="R10" s="95" t="str">
        <f>IF(K11="NONE","None",IF(K11="INLINE","Yes",IF(K11="OUT OF LINE","Yes")))</f>
        <v>Yes</v>
      </c>
      <c r="S10" s="95"/>
      <c r="T10" s="13" t="s">
        <v>100</v>
      </c>
      <c r="U10" s="105" t="s">
        <v>197</v>
      </c>
      <c r="V10" s="105"/>
      <c r="W10" s="105"/>
      <c r="X10" s="105"/>
      <c r="Y10" s="106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1">
        <f>E10/B10</f>
        <v>18.630000000000003</v>
      </c>
      <c r="F11" s="132"/>
      <c r="G11" s="10" t="s">
        <v>15</v>
      </c>
      <c r="H11" s="131">
        <f>H10/B10</f>
        <v>437.40000000000003</v>
      </c>
      <c r="I11" s="132"/>
      <c r="J11" s="10" t="s">
        <v>50</v>
      </c>
      <c r="K11" s="61" t="s">
        <v>64</v>
      </c>
      <c r="L11" s="62"/>
      <c r="M11" s="28"/>
      <c r="N11" s="12"/>
      <c r="O11" s="97" t="str">
        <f>IF(O10="NONE","","V")</f>
        <v/>
      </c>
      <c r="P11" s="98"/>
      <c r="Q11" s="12"/>
      <c r="R11" s="97" t="str">
        <f>IF(R10="None","","P")</f>
        <v>P</v>
      </c>
      <c r="S11" s="98"/>
      <c r="T11" s="12"/>
      <c r="U11" s="107"/>
      <c r="V11" s="107"/>
      <c r="W11" s="107"/>
      <c r="X11" s="107"/>
      <c r="Y11" s="108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69</v>
      </c>
      <c r="C13" s="61"/>
      <c r="D13" s="62"/>
      <c r="E13" s="18" t="s">
        <v>61</v>
      </c>
      <c r="F13" s="61" t="s">
        <v>66</v>
      </c>
      <c r="G13" s="61"/>
      <c r="H13" s="62"/>
      <c r="I13" s="10" t="s">
        <v>62</v>
      </c>
      <c r="J13" s="61" t="s">
        <v>177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8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1" t="s">
        <v>199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8" t="s">
        <v>4</v>
      </c>
      <c r="F16" s="148"/>
      <c r="G16" s="148" t="s">
        <v>5</v>
      </c>
      <c r="H16" s="148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>
        <v>150</v>
      </c>
      <c r="P16" s="62"/>
      <c r="Q16" s="10" t="s">
        <v>105</v>
      </c>
      <c r="R16" s="61" t="s">
        <v>31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2" t="s">
        <v>147</v>
      </c>
      <c r="D17" s="93"/>
      <c r="E17" s="89"/>
      <c r="F17" s="64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31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2" t="s">
        <v>146</v>
      </c>
      <c r="D18" s="93"/>
      <c r="E18" s="89"/>
      <c r="F18" s="64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2" t="s">
        <v>145</v>
      </c>
      <c r="D19" s="93"/>
      <c r="E19" s="89"/>
      <c r="F19" s="64"/>
      <c r="G19" s="47" t="s">
        <v>83</v>
      </c>
      <c r="H19" s="31"/>
      <c r="I19" s="58"/>
      <c r="J19" s="59"/>
      <c r="K19" s="58"/>
      <c r="L19" s="59"/>
      <c r="M19" s="28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2" t="s">
        <v>144</v>
      </c>
      <c r="D20" s="93"/>
      <c r="E20" s="89"/>
      <c r="F20" s="64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2" t="s">
        <v>143</v>
      </c>
      <c r="D21" s="93"/>
      <c r="E21" s="89"/>
      <c r="F21" s="64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>RED</v>
      </c>
      <c r="B22" s="60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R</v>
      </c>
      <c r="D22" s="93"/>
      <c r="E22" s="94" t="s">
        <v>200</v>
      </c>
      <c r="F22" s="64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9" t="s">
        <v>201</v>
      </c>
      <c r="B23" s="149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89"/>
      <c r="F23" s="64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50"/>
      <c r="B24" s="151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89"/>
      <c r="F24" s="64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203</v>
      </c>
      <c r="P25" s="33"/>
      <c r="Q25" s="9">
        <v>24</v>
      </c>
      <c r="R25" s="9"/>
      <c r="S25" s="9"/>
      <c r="T25" s="9"/>
      <c r="U25" s="9"/>
      <c r="V25" s="9"/>
      <c r="W25" s="9">
        <v>18</v>
      </c>
      <c r="X25" s="9">
        <v>14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 t="s">
        <v>202</v>
      </c>
      <c r="C27" s="7"/>
      <c r="D27" s="152">
        <v>21.6</v>
      </c>
      <c r="E27" s="153">
        <v>2.9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45544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45534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24CFF16-E4AE-4504-B13D-2D4EE00A602A}"/>
</file>

<file path=customXml/itemProps2.xml><?xml version="1.0" encoding="utf-8"?>
<ds:datastoreItem xmlns:ds="http://schemas.openxmlformats.org/officeDocument/2006/customXml" ds:itemID="{E6DC85BC-EA0D-4DB0-B733-1B22E8DA1835}"/>
</file>

<file path=customXml/itemProps3.xml><?xml version="1.0" encoding="utf-8"?>
<ds:datastoreItem xmlns:ds="http://schemas.openxmlformats.org/officeDocument/2006/customXml" ds:itemID="{55368976-D496-4122-A582-E03DC505ED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2024-07-05T01:44:26Z</cp:lastPrinted>
  <dcterms:created xsi:type="dcterms:W3CDTF">2019-11-27T23:28:06Z</dcterms:created>
  <dcterms:modified xsi:type="dcterms:W3CDTF">2024-08-08T22:23:48Z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