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2153432-5472-4F7A-A193-76BCB096E7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<sst xmlns="http://schemas.openxmlformats.org/spreadsheetml/2006/main" count="307" uniqueCount="203">
  <si>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</si>
  <si>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</si>
  <si>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</si>
  <si>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</si>
  <si>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</si>
  <si>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</si>
  <si>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</si>
  <si>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</si>
  <si>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</si>
  <si>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</si>
  <si>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</si>
  <si>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</si>
  <si>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</si>
  <si>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</si>
  <si>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</si>
  <si>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</si>
  <si>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</si>
  <si>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</si>
  <si>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</si>
  <si>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</si>
  <si>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</si>
  <si>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</si>
  <si>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</si>
  <si>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</si>
  <si>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</si>
  <si>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</si>
  <si>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</si>
  <si>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</si>
  <si>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</si>
  <si>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</si>
  <si>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</si>
  <si>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</si>
  <si>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</si>
  <si>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</si>
  <si>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</si>
  <si>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</si>
  <si>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</si>
  <si>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</si>
  <si>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</si>
  <si>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</si>
  <si>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</si>
  <si>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</si>
  <si>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</si>
  <si>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</si>
  <si>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</si>
  <si>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</si>
  <si>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</si>
  <si>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</si>
  <si>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</si>
  <si>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</si>
  <si>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</si>
  <si>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</si>
  <si>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</si>
  <si>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</si>
  <si>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</si>
  <si>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</si>
  <si>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</si>
  <si>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</si>
  <si>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</si>
  <si>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</si>
  <si>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</si>
  <si>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</si>
  <si>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</si>
  <si>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</si>
  <si>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</si>
  <si>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</si>
  <si>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</si>
  <si>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</si>
  <si>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</si>
  <si>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</si>
  <si>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</si>
  <si>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</si>
  <si>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</si>
  <si>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</si>
  <si>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</si>
  <si>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</si>
  <si>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</si>
  <si>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</si>
  <si>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</si>
  <si>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</si>
  <si>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</si>
  <si>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</si>
  <si>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</si>
  <si>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</si>
  <si>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</si>
  <si>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</si>
  <si>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</si>
  <si>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</si>
  <si>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</si>
  <si>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</si>
  <si>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</si>
  <si>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</si>
  <si>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</si>
  <si>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</si>
  <si>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</si>
  <si>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</si>
  <si>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</si>
  <si>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</si>
  <si>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</si>
  <si>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</si>
  <si>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</si>
  <si>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</si>
  <si>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</si>
  <si>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</si>
  <si>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</si>
  <si>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</si>
  <si>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</si>
  <si>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</si>
  <si>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</si>
  <si>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</si>
  <si>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</si>
  <si>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</si>
  <si>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</si>
  <si>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</si>
  <si>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</si>
  <si>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</si>
  <si>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</si>
  <si>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</si>
  <si>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</si>
  <si>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</si>
  <si>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</si>
  <si>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</si>
  <si>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</si>
  <si>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</si>
  <si>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</si>
  <si>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</si>
  <si>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</si>
  <si>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</si>
  <si>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</si>
  <si>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</si>
  <si>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</si>
  <si>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</si>
  <si>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</si>
  <si>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</si>
  <si>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</si>
  <si>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</si>
  <si>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</si>
  <si>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</si>
  <si>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</si>
  <si>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</si>
  <si>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</si>
  <si>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</si>
  <si>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</si>
  <si>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</si>
  <si>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</si>
  <si>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</si>
  <si>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</si>
  <si>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</si>
  <si>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</si>
  <si>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</si>
  <si>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</si>
  <si>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</si>
  <si>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</si>
  <si>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</si>
  <si>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</si>
  <si>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</si>
  <si>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</si>
  <si>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</si>
  <si>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</si>
  <si>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</si>
  <si>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</si>
  <si>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</si>
  <si>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</si>
  <si>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</si>
  <si>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</si>
  <si>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</si>
  <si>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</si>
  <si>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</si>
  <si>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</si>
  <si>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</si>
  <si>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</si>
  <si>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</si>
  <si>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</si>
  <si>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</si>
  <si>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</si>
  <si>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</si>
  <si>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</si>
  <si>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</si>
  <si>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</si>
  <si>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</si>
  <si>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</si>
  <si>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</si>
  <si>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</si>
  <si>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</si>
  <si>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</si>
  <si>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</si>
  <si>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</si>
  <si>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</si>
  <si>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</si>
  <si>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</si>
  <si>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</si>
  <si>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</si>
  <si>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</si>
  <si>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</si>
  <si>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 xml:space="preserve"> +/- 5mm</t>
  </si>
  <si>
    <t>Centrefold Roll</t>
  </si>
  <si>
    <t>Notes BAG MUST BE HIGH CLARITY FOOD GRADE</t>
  </si>
  <si>
    <t xml:space="preserve">JUNGLE CREEK </t>
  </si>
  <si>
    <t>MUST HAVE WATER TIGHT SEAL</t>
  </si>
  <si>
    <t xml:space="preserve">LIMAX/ORION 1 </t>
  </si>
  <si>
    <t>24/20</t>
  </si>
  <si>
    <t>16/220</t>
  </si>
  <si>
    <t>13/220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</si>
</sst>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PB455910100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136">
        <f ca="1">TODAY()</f>
        <v>44697</v>
      </c>
      <c r="K1" s="136"/>
      <c r="L1" s="137"/>
      <c r="M1" s="34"/>
      <c r="N1" s="12" t="s">
        <v>56</v>
      </c>
      <c r="O1" s="123" t="str">
        <f>B1</f>
        <v>PB455910100</v>
      </c>
      <c r="P1" s="123"/>
      <c r="Q1" s="124"/>
      <c r="R1" s="12" t="s">
        <v>57</v>
      </c>
      <c r="S1" s="123" t="str">
        <f>F1</f>
        <v xml:space="preserve">JUNGLE CREEK </v>
      </c>
      <c r="T1" s="123"/>
      <c r="U1" s="124"/>
      <c r="V1" s="12" t="s">
        <v>181</v>
      </c>
      <c r="W1" s="136">
        <f ca="1">J1</f>
        <v>44697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942809</v>
      </c>
      <c r="G2" s="73"/>
      <c r="H2" s="74"/>
      <c r="I2" s="12" t="s">
        <v>59</v>
      </c>
      <c r="J2" s="139">
        <v>44649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942809</v>
      </c>
      <c r="T2" s="123"/>
      <c r="U2" s="124"/>
      <c r="V2" s="12" t="s">
        <v>59</v>
      </c>
      <c r="W2" s="138">
        <f>J2</f>
        <v>44649</v>
      </c>
      <c r="X2" s="123"/>
      <c r="Y2" s="124"/>
    </row>
    <row r="3" spans="1:28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">
        <v>198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12</v>
      </c>
      <c r="P7" s="74"/>
      <c r="Q7" s="12" t="str">
        <f>IF(ISNUMBER(SEARCH("roll",O8,1)),"Per Roll","Per Carton")</f>
        <v>Per Carton</v>
      </c>
      <c r="R7" s="73">
        <v>200</v>
      </c>
      <c r="S7" s="74"/>
      <c r="T7" s="12" t="str">
        <f>IF(ISNUMBER(SEARCH("bag",O8,1)),"Total Bags","Total Sheets")</f>
        <v>Total Bags</v>
      </c>
      <c r="U7" s="123">
        <f>R7*O7</f>
        <v>2400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455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100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193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455</v>
      </c>
      <c r="S9" s="20" t="s">
        <v>78</v>
      </c>
      <c r="T9" s="35">
        <v>910</v>
      </c>
      <c r="U9" s="20" t="s">
        <v>78</v>
      </c>
      <c r="V9" s="35">
        <v>100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6</v>
      </c>
      <c r="C10" s="74"/>
      <c r="D10" s="54" t="s">
        <v>134</v>
      </c>
      <c r="E10" s="145">
        <f>IF(ISNUMBER(SEARCH("sheet",O8,1)),((R9*T9*H8/540000)*U7/2000*1.3),((R9*T9*H8/540000)*U7/1000*1.08))</f>
        <v>198.744</v>
      </c>
      <c r="F10" s="146"/>
      <c r="G10" s="12" t="s">
        <v>53</v>
      </c>
      <c r="H10" s="149">
        <f>IF(ISNUMBER(SEARCH("sheet",O8,1)),(U7*T9/2000*1.08),(U7*T9/1000*1.08))</f>
        <v>2358.7200000000003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33.124000000000002</v>
      </c>
      <c r="F11" s="148"/>
      <c r="G11" s="12" t="s">
        <v>15</v>
      </c>
      <c r="H11" s="147">
        <f>H10/B10</f>
        <v>393.12000000000006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12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32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196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199</v>
      </c>
      <c r="P25" s="39"/>
      <c r="Q25" s="10" t="s">
        <v>200</v>
      </c>
      <c r="R25" s="10"/>
      <c r="S25" s="10"/>
      <c r="T25" s="10"/>
      <c r="U25" s="10"/>
      <c r="V25" s="10"/>
      <c r="W25" s="10" t="s">
        <v>201</v>
      </c>
      <c r="X25" s="10" t="s">
        <v>202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" right="0" top="0" bottom="0" header="0" footer="0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44728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44718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195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C12F3A4-253F-48C4-B348-154C18DE5C51}"/>
</file>

<file path=customXml/itemProps2.xml><?xml version="1.0" encoding="utf-8"?>
<ds:datastoreItem xmlns:ds="http://schemas.openxmlformats.org/officeDocument/2006/customXml" ds:itemID="{43305480-1744-4277-9A31-AED5EE97FCCC}"/>
</file>

<file path=customXml/itemProps3.xml><?xml version="1.0" encoding="utf-8"?>
<ds:datastoreItem xmlns:ds="http://schemas.openxmlformats.org/officeDocument/2006/customXml" ds:itemID="{6FC1C9D3-55EC-4B85-9ABC-716EDF9CD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2022-03-08T02:27:34Z</cp:lastPrinted>
  <dcterms:created xsi:type="dcterms:W3CDTF">2019-11-27T23:28:06Z</dcterms:created>
  <dcterms:modified xsi:type="dcterms:W3CDTF">2022-05-15T23:51:45Z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