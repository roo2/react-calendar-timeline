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E681770-538F-4502-91DF-1A3F0BEB52D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<sst xmlns="http://schemas.openxmlformats.org/spreadsheetml/2006/main" count="308" uniqueCount="202">
  <si>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</si>
  <si>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</si>
  <si>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</si>
  <si>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</si>
  <si>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</si>
  <si>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</si>
  <si>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</si>
  <si>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</si>
  <si>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</si>
  <si>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</si>
  <si>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</si>
  <si>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</si>
  <si>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</si>
  <si>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</si>
  <si>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</si>
  <si>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</si>
  <si>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</si>
  <si>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</si>
  <si>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</si>
  <si>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</si>
  <si>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</si>
  <si>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</si>
  <si>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</si>
  <si>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</si>
  <si>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</si>
  <si>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</si>
  <si>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</si>
  <si>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</si>
  <si>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</si>
  <si>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</si>
  <si>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</si>
  <si>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</si>
  <si>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</si>
  <si>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</si>
  <si>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</si>
  <si>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</si>
  <si>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</si>
  <si>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</si>
  <si>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</si>
  <si>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</si>
  <si>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</si>
  <si>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</si>
  <si>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</si>
  <si>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</si>
  <si>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</si>
  <si>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</si>
  <si>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</si>
  <si>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</si>
  <si>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</si>
  <si>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</si>
  <si>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</si>
  <si>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</si>
  <si>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</si>
  <si>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</si>
  <si>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</si>
  <si>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</si>
  <si>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</si>
  <si>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</si>
  <si>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</si>
  <si>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</si>
  <si>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</si>
  <si>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</si>
  <si>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</si>
  <si>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</si>
  <si>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</si>
  <si>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</si>
  <si>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</si>
  <si>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</si>
  <si>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</si>
  <si>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</si>
  <si>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</si>
  <si>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</si>
  <si>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</si>
  <si>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</si>
  <si>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</si>
  <si>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</si>
  <si>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</si>
  <si>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</si>
  <si>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</si>
  <si>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</si>
  <si>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</si>
  <si>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</si>
  <si>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</si>
  <si>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</si>
  <si>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</si>
  <si>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</si>
  <si>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</si>
  <si>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</si>
  <si>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</si>
  <si>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</si>
  <si>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</si>
  <si>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</si>
  <si>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</si>
  <si>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</si>
  <si>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</si>
  <si>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</si>
  <si>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</si>
  <si>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</si>
  <si>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</si>
  <si>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</si>
  <si>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</si>
  <si>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</si>
  <si>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</si>
  <si>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</si>
  <si>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</si>
  <si>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</si>
  <si>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</si>
  <si>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</si>
  <si>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</si>
  <si>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</si>
  <si>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</si>
  <si>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</si>
  <si>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</si>
  <si>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</si>
  <si>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</si>
  <si>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</si>
  <si>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</si>
  <si>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</si>
  <si>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</si>
  <si>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</si>
  <si>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</si>
  <si>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</si>
  <si>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</si>
  <si>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</si>
  <si>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</si>
  <si>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</si>
  <si>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</si>
  <si>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</si>
  <si>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</si>
  <si>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</si>
  <si>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</si>
  <si>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</si>
  <si>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</si>
  <si>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</si>
  <si>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</si>
  <si>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</si>
  <si>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</si>
  <si>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</si>
  <si>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</si>
  <si>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</si>
  <si>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</si>
  <si>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</si>
  <si>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</si>
  <si>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</si>
  <si>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</si>
  <si>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</si>
  <si>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</si>
  <si>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</si>
  <si>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</si>
  <si>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</si>
  <si>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</si>
  <si>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</si>
  <si>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</si>
  <si>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</si>
  <si>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</si>
  <si>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</si>
  <si>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</si>
  <si>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</si>
  <si>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</si>
  <si>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</si>
  <si>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</si>
  <si>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</si>
  <si>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</si>
  <si>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</si>
  <si>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</si>
  <si>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</si>
  <si>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</si>
  <si>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</si>
  <si>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</si>
  <si>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</si>
  <si>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</si>
  <si>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</si>
  <si>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</si>
  <si>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</si>
  <si>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</si>
  <si>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</si>
  <si>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</si>
  <si>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</si>
  <si>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</si>
  <si>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</si>
  <si>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</si>
  <si>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</si>
  <si>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</si>
  <si>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</si>
  <si>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</si>
  <si>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</si>
  <si>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</si>
  <si>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</si>
  <si>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</si>
  <si>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</si>
  <si>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</si>
  <si>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</si>
  <si>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</si>
  <si>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</si>
  <si>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</si>
  <si>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LIMAXORION 1</t>
  </si>
  <si>
    <t>24/26</t>
  </si>
  <si>
    <t>16/170</t>
  </si>
  <si>
    <t>13/170</t>
  </si>
  <si>
    <t>NEIL OWENS</t>
  </si>
  <si>
    <r>
      <t xml:space="preserve"> MUST HAVE STRONG SEALS - </t>
    </r>
    <r>
      <rPr>
        <b/>
        <u/>
        <sz val="16"/>
        <color rgb="FFFF0000"/>
        <rFont val="Calibri"/>
        <family val="2"/>
        <scheme val="minor"/>
      </rPr>
      <t>NO SPLITTING MATERIAL - MUST NOT BE BLOCKED</t>
    </r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</si>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</sst>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PB450750150</v>
      </c>
      <c r="C1" s="108"/>
      <c r="D1" s="109"/>
      <c r="E1" s="11" t="s">
        <v>57</v>
      </c>
      <c r="F1" s="62" t="s">
        <v>199</v>
      </c>
      <c r="G1" s="62"/>
      <c r="H1" s="63"/>
      <c r="I1" s="12" t="s">
        <v>181</v>
      </c>
      <c r="J1" s="119">
        <f ca="1">TODAY()</f>
        <v>46058</v>
      </c>
      <c r="K1" s="119"/>
      <c r="L1" s="120"/>
      <c r="M1" s="29"/>
      <c r="N1" s="11" t="s">
        <v>56</v>
      </c>
      <c r="O1" s="108" t="str">
        <f>B1</f>
        <v>PB450750150</v>
      </c>
      <c r="P1" s="108"/>
      <c r="Q1" s="109"/>
      <c r="R1" s="11" t="s">
        <v>57</v>
      </c>
      <c r="S1" s="108" t="str">
        <f>F1</f>
        <v>NEIL OWENS</v>
      </c>
      <c r="T1" s="108"/>
      <c r="U1" s="109"/>
      <c r="V1" s="11" t="s">
        <v>181</v>
      </c>
      <c r="W1" s="119">
        <f ca="1">J1</f>
        <v>46058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951446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951446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00000000000001" customHeight="1" x14ac:dyDescent="0.25">
      <c r="A3" s="110" t="s">
        <v>200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 xml:space="preserve"> MUST HAVE STRONG SEALS - NO SPLITTING MATERIAL - MUST NOT BE BLOCKED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08">
        <f>R7*O7</f>
        <v>2000</v>
      </c>
      <c r="V7" s="109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450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193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450</v>
      </c>
      <c r="S9" s="18" t="s">
        <v>78</v>
      </c>
      <c r="T9" s="30">
        <v>750</v>
      </c>
      <c r="U9" s="18" t="s">
        <v>78</v>
      </c>
      <c r="V9" s="30">
        <v>150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4</v>
      </c>
      <c r="C10" s="63"/>
      <c r="D10" s="47" t="s">
        <v>134</v>
      </c>
      <c r="E10" s="127">
        <f>IF(ISNUMBER(SEARCH("sheet",O8,1)),((R9*T9*H8/540000)*U7/2000*1.3),((R9*T9*H8/540000)*U7/1000*1.08))</f>
        <v>202.5</v>
      </c>
      <c r="F10" s="128"/>
      <c r="G10" s="11" t="s">
        <v>53</v>
      </c>
      <c r="H10" s="131">
        <f>IF(ISNUMBER(SEARCH("sheet",O8,1)),(U7*T9/2000*1.08),(U7*T9/1000*1.08))</f>
        <v>1620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50.625</v>
      </c>
      <c r="F11" s="130"/>
      <c r="G11" s="11" t="s">
        <v>15</v>
      </c>
      <c r="H11" s="129">
        <f>H10/B10</f>
        <v>405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7"/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 t="s">
        <v>196</v>
      </c>
      <c r="R25" s="10"/>
      <c r="S25" s="10"/>
      <c r="T25" s="10"/>
      <c r="U25" s="10"/>
      <c r="V25" s="10"/>
      <c r="W25" s="10" t="s">
        <v>197</v>
      </c>
      <c r="X25" s="10" t="s">
        <v>198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 t="s">
        <v>201</v>
      </c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46086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46079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E355BE1-FF40-4F89-B89C-2239B501F446}"/>
</file>

<file path=customXml/itemProps2.xml><?xml version="1.0" encoding="utf-8"?>
<ds:datastoreItem xmlns:ds="http://schemas.openxmlformats.org/officeDocument/2006/customXml" ds:itemID="{6C3DC2DA-0604-4490-BFFE-B6B10D298B15}"/>
</file>

<file path=customXml/itemProps3.xml><?xml version="1.0" encoding="utf-8"?>
<ds:datastoreItem xmlns:ds="http://schemas.openxmlformats.org/officeDocument/2006/customXml" ds:itemID="{B5F57148-EACA-4754-8E09-D65C108EDA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2024-08-01T01:44:45Z</cp:lastPrinted>
  <dcterms:created xsi:type="dcterms:W3CDTF">2019-11-27T23:28:06Z</dcterms:created>
  <dcterms:modified xsi:type="dcterms:W3CDTF">2026-02-05T02:45:06Z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