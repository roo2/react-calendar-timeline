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A6BE553-3310-426A-8045-AF690F85AE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<sst xmlns="http://schemas.openxmlformats.org/spreadsheetml/2006/main" count="301" uniqueCount="200">
  <si>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</si>
  <si>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</si>
  <si>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</si>
  <si>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</si>
  <si>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</si>
  <si>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</si>
  <si>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</si>
  <si>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</si>
  <si>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</si>
  <si>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</si>
  <si>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</si>
  <si>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</si>
  <si>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</si>
  <si>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</si>
  <si>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</si>
  <si>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</si>
  <si>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</si>
  <si>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</si>
  <si>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</si>
  <si>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</si>
  <si>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</si>
  <si>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</si>
  <si>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</si>
  <si>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</si>
  <si>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</si>
  <si>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</si>
  <si>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</si>
  <si>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</si>
  <si>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</si>
  <si>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</si>
  <si>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</si>
  <si>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</si>
  <si>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</si>
  <si>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</si>
  <si>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</si>
  <si>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</si>
  <si>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</si>
  <si>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</si>
  <si>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</si>
  <si>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</si>
  <si>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</si>
  <si>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</si>
  <si>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</si>
  <si>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</si>
  <si>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</si>
  <si>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</si>
  <si>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</si>
  <si>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</si>
  <si>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</si>
  <si>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</si>
  <si>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</si>
  <si>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</si>
  <si>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</si>
  <si>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</si>
  <si>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</si>
  <si>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</si>
  <si>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</si>
  <si>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</si>
  <si>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</si>
  <si>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</si>
  <si>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</si>
  <si>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</si>
  <si>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</si>
  <si>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</si>
  <si>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</si>
  <si>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</si>
  <si>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</si>
  <si>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</si>
  <si>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</si>
  <si>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</si>
  <si>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</si>
  <si>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</si>
  <si>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</si>
  <si>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</si>
  <si>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</si>
  <si>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</si>
  <si>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</si>
  <si>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</si>
  <si>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</si>
  <si>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</si>
  <si>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</si>
  <si>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</si>
  <si>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</si>
  <si>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</si>
  <si>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</si>
  <si>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</si>
  <si>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</si>
  <si>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</si>
  <si>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</si>
  <si>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</si>
  <si>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</si>
  <si>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</si>
  <si>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</si>
  <si>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</si>
  <si>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</si>
  <si>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</si>
  <si>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</si>
  <si>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</si>
  <si>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</si>
  <si>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</si>
  <si>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</si>
  <si>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</si>
  <si>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</si>
  <si>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</si>
  <si>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</si>
  <si>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</si>
  <si>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</si>
  <si>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</si>
  <si>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</si>
  <si>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</si>
  <si>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</si>
  <si>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</si>
  <si>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</si>
  <si>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</si>
  <si>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</si>
  <si>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</si>
  <si>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</si>
  <si>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</si>
  <si>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</si>
  <si>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</si>
  <si>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</si>
  <si>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</si>
  <si>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</si>
  <si>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</si>
  <si>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</si>
  <si>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</si>
  <si>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</si>
  <si>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</si>
  <si>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</si>
  <si>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</si>
  <si>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</si>
  <si>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</si>
  <si>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</si>
  <si>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</si>
  <si>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</si>
  <si>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</si>
  <si>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</si>
  <si>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</si>
  <si>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</si>
  <si>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</si>
  <si>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</si>
  <si>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</si>
  <si>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</si>
  <si>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</si>
  <si>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</si>
  <si>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</si>
  <si>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</si>
  <si>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</si>
  <si>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</si>
  <si>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</si>
  <si>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</si>
  <si>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</si>
  <si>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</si>
  <si>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</si>
  <si>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</si>
  <si>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</si>
  <si>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</si>
  <si>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</si>
  <si>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</si>
  <si>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</si>
  <si>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</si>
  <si>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</si>
  <si>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</si>
  <si>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</si>
  <si>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</si>
  <si>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</si>
  <si>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</si>
  <si>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</si>
  <si>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</si>
  <si>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</si>
  <si>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</si>
  <si>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</si>
  <si>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</si>
  <si>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</si>
  <si>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</si>
  <si>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</si>
  <si>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</si>
  <si>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</si>
  <si>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</si>
  <si>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</si>
  <si>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</si>
  <si>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</si>
  <si>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</si>
  <si>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</si>
  <si>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</si>
  <si>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</si>
  <si>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</si>
  <si>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</si>
  <si>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</si>
  <si>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</si>
  <si>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</si>
  <si>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</si>
  <si>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</si>
  <si>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</si>
  <si>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</si>
  <si>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NEW ITEM - PERF INLINE</t>
  </si>
  <si>
    <t>ANSTEL</t>
  </si>
  <si>
    <t>RUN AT 70um</t>
  </si>
  <si>
    <t>PERF</t>
  </si>
  <si>
    <t>Notes    SKIP MUST BE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</si>
</sst>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PBR8901650100BK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44736</v>
      </c>
      <c r="K1" s="119"/>
      <c r="L1" s="120"/>
      <c r="M1" s="35"/>
      <c r="N1" s="18" t="s">
        <v>55</v>
      </c>
      <c r="O1" s="108" t="str">
        <f>B1</f>
        <v>PBR8901650100BK</v>
      </c>
      <c r="P1" s="108"/>
      <c r="Q1" s="109"/>
      <c r="R1" s="18" t="s">
        <v>56</v>
      </c>
      <c r="S1" s="108" t="str">
        <f>F1</f>
        <v>ANSTEL</v>
      </c>
      <c r="T1" s="108"/>
      <c r="U1" s="109"/>
      <c r="V1" s="18" t="s">
        <v>180</v>
      </c>
      <c r="W1" s="119">
        <f ca="1">J1</f>
        <v>44736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943339</v>
      </c>
      <c r="G2" s="71"/>
      <c r="H2" s="72"/>
      <c r="I2" s="18" t="s">
        <v>58</v>
      </c>
      <c r="J2" s="131">
        <v>44736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943339</v>
      </c>
      <c r="T2" s="108"/>
      <c r="U2" s="109"/>
      <c r="V2" s="18" t="s">
        <v>58</v>
      </c>
      <c r="W2" s="121">
        <f>J2</f>
        <v>44736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NEW ITEM - 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176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20</v>
      </c>
      <c r="P7" s="72"/>
      <c r="Q7" s="18" t="str">
        <f>IF(ISNUMBER(SEARCH("roll",O8,1)),"Per Roll","Per Carton")</f>
        <v>Per Roll</v>
      </c>
      <c r="R7" s="71">
        <v>75</v>
      </c>
      <c r="S7" s="72"/>
      <c r="T7" s="18" t="str">
        <f>IF(ISNUMBER(SEARCH("bag",O8,1)),"Total Bags","Total Sheets")</f>
        <v>Total Bags</v>
      </c>
      <c r="U7" s="108">
        <f>R7*O7</f>
        <v>1500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29">
        <f>R9</f>
        <v>890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100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890</v>
      </c>
      <c r="S9" s="25" t="s">
        <v>77</v>
      </c>
      <c r="T9" s="36">
        <v>1650</v>
      </c>
      <c r="U9" s="25" t="s">
        <v>77</v>
      </c>
      <c r="V9" s="36">
        <v>100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20</v>
      </c>
      <c r="C10" s="72"/>
      <c r="D10" s="56" t="s">
        <v>133</v>
      </c>
      <c r="E10" s="146">
        <f>IF(ISNUMBER(SEARCH("sheet",O8,1)),((R9*T9*H8/540000)*U7/2000*1.3),((R9*T9*H8/540000)*U7/1000*1.08))</f>
        <v>440.55000000000007</v>
      </c>
      <c r="F10" s="147"/>
      <c r="G10" s="18" t="s">
        <v>52</v>
      </c>
      <c r="H10" s="150">
        <f>IF(ISNUMBER(SEARCH("sheet",O8,1)),(U7*T9/2000*1.08),(U7*T9/1000*1.08))</f>
        <v>2673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22.027500000000003</v>
      </c>
      <c r="F11" s="149"/>
      <c r="G11" s="18" t="s">
        <v>14</v>
      </c>
      <c r="H11" s="148">
        <f>H10/B10</f>
        <v>133.65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199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BLACK</v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 t="s">
        <v>198</v>
      </c>
      <c r="P25" s="41"/>
      <c r="Q25" s="10">
        <v>10</v>
      </c>
      <c r="R25" s="10">
        <v>9</v>
      </c>
      <c r="S25" s="10"/>
      <c r="T25" s="10">
        <v>11</v>
      </c>
      <c r="U25" s="10"/>
      <c r="V25" s="10"/>
      <c r="W25" s="10">
        <v>180</v>
      </c>
      <c r="X25" s="10">
        <v>180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44766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44757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A3BBE0F-95F9-4CB0-B2C3-7B3CACE63D98}"/>
</file>

<file path=customXml/itemProps2.xml><?xml version="1.0" encoding="utf-8"?>
<ds:datastoreItem xmlns:ds="http://schemas.openxmlformats.org/officeDocument/2006/customXml" ds:itemID="{9819B41E-2621-425F-AE61-A6AD54551595}"/>
</file>

<file path=customXml/itemProps3.xml><?xml version="1.0" encoding="utf-8"?>
<ds:datastoreItem xmlns:ds="http://schemas.openxmlformats.org/officeDocument/2006/customXml" ds:itemID="{F2CE9FE0-5EAE-467A-9C97-44B6EB098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2022-05-24T04:16:00Z</cp:lastPrinted>
  <dcterms:created xsi:type="dcterms:W3CDTF">2019-11-27T23:28:06Z</dcterms:created>
  <dcterms:modified xsi:type="dcterms:W3CDTF">2022-06-24T02:44:14Z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