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2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<sst xmlns="http://schemas.openxmlformats.org/spreadsheetml/2006/main" count="305" uniqueCount="200">
  <si>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</si>
  <si>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</si>
  <si>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</si>
  <si>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</si>
  <si>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</si>
  <si>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</si>
  <si>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</si>
  <si>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</si>
  <si>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</si>
  <si>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</si>
  <si>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</si>
  <si>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</si>
  <si>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</si>
  <si>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</si>
  <si>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</si>
  <si>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</si>
  <si>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</si>
  <si>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</si>
  <si>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</si>
  <si>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</si>
  <si>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</si>
  <si>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</si>
  <si>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</si>
  <si>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</si>
  <si>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</si>
  <si>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</si>
  <si>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</si>
  <si>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</si>
  <si>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</si>
  <si>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</si>
  <si>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</si>
  <si>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</si>
  <si>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</si>
  <si>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</si>
  <si>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</si>
  <si>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</si>
  <si>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</si>
  <si>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</si>
  <si>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</si>
  <si>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</si>
  <si>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</si>
  <si>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</si>
  <si>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</si>
  <si>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</si>
  <si>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</si>
  <si>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</si>
  <si>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</si>
  <si>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</si>
  <si>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</si>
  <si>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</si>
  <si>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</si>
  <si>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</si>
  <si>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</si>
  <si>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</si>
  <si>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</si>
  <si>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</si>
  <si>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</si>
  <si>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</si>
  <si>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</si>
  <si>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</si>
  <si>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</si>
  <si>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</si>
  <si>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</si>
  <si>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</si>
  <si>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</si>
  <si>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</si>
  <si>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</si>
  <si>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</si>
  <si>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</si>
  <si>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</si>
  <si>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</si>
  <si>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</si>
  <si>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</si>
  <si>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</si>
  <si>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</si>
  <si>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</si>
  <si>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</si>
  <si>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</si>
  <si>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</si>
  <si>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</si>
  <si>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</si>
  <si>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</si>
  <si>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</si>
  <si>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</si>
  <si>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</si>
  <si>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</si>
  <si>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</si>
  <si>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</si>
  <si>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</si>
  <si>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</si>
  <si>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</si>
  <si>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</si>
  <si>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</si>
  <si>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</si>
  <si>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</si>
  <si>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</si>
  <si>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</si>
  <si>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</si>
  <si>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</si>
  <si>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</si>
  <si>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</si>
  <si>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</si>
  <si>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</si>
  <si>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</si>
  <si>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</si>
  <si>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</si>
  <si>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</si>
  <si>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</si>
  <si>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</si>
  <si>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</si>
  <si>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</si>
  <si>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</si>
  <si>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</si>
  <si>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</si>
  <si>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</si>
  <si>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</si>
  <si>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</si>
  <si>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</si>
  <si>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</si>
  <si>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</si>
  <si>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</si>
  <si>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</si>
  <si>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</si>
  <si>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</si>
  <si>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</si>
  <si>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</si>
  <si>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</si>
  <si>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</si>
  <si>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</si>
  <si>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</si>
  <si>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</si>
  <si>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</si>
  <si>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</si>
  <si>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</si>
  <si>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</si>
  <si>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</si>
  <si>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</si>
  <si>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</si>
  <si>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</si>
  <si>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</si>
  <si>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</si>
  <si>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</si>
  <si>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</si>
  <si>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</si>
  <si>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</si>
  <si>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</si>
  <si>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</si>
  <si>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</si>
  <si>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</si>
  <si>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</si>
  <si>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</si>
  <si>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</si>
  <si>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</si>
  <si>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</si>
  <si>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</si>
  <si>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</si>
  <si>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</si>
  <si>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</si>
  <si>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</si>
  <si>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</si>
  <si>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</si>
  <si>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</si>
  <si>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</si>
  <si>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</si>
  <si>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</si>
  <si>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</si>
  <si>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</si>
  <si>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</si>
  <si>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</si>
  <si>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</si>
  <si>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</si>
  <si>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</si>
  <si>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</si>
  <si>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</si>
  <si>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</si>
  <si>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</si>
  <si>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</si>
  <si>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</si>
  <si>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</si>
  <si>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</si>
  <si>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</si>
  <si>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</si>
  <si>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</si>
  <si>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</si>
  <si>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</si>
  <si>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</si>
  <si>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</si>
  <si>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</si>
  <si>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</si>
  <si>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</si>
  <si>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</si>
  <si>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</si>
  <si>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</si>
  <si>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</si>
  <si>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</si>
  <si>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(140+130)</t>
  </si>
  <si>
    <t>UV</t>
  </si>
  <si>
    <t>MACS NETWORK</t>
  </si>
  <si>
    <t>RUN AT 130-140UM</t>
  </si>
  <si>
    <t>NEW ITEM - DO NOT RUN OVER 140UM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</si>
</sst>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E20" sqref="E20:F20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PB270G360150WHUVV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43859</v>
      </c>
      <c r="K1" s="136"/>
      <c r="L1" s="137"/>
      <c r="M1" s="34"/>
      <c r="N1" s="12" t="s">
        <v>56</v>
      </c>
      <c r="O1" s="123" t="str">
        <f>B1</f>
        <v>PB270G360150WHUVV</v>
      </c>
      <c r="P1" s="123"/>
      <c r="Q1" s="124"/>
      <c r="R1" s="12" t="s">
        <v>57</v>
      </c>
      <c r="S1" s="123" t="str">
        <f>F1</f>
        <v>MACS NETWORK</v>
      </c>
      <c r="T1" s="123"/>
      <c r="U1" s="124"/>
      <c r="V1" s="12" t="s">
        <v>181</v>
      </c>
      <c r="W1" s="136">
        <f ca="1">J1</f>
        <v>43859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936248</v>
      </c>
      <c r="G2" s="73"/>
      <c r="H2" s="74"/>
      <c r="I2" s="12" t="s">
        <v>59</v>
      </c>
      <c r="J2" s="139">
        <v>43890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936248</v>
      </c>
      <c r="T2" s="123"/>
      <c r="U2" s="124"/>
      <c r="V2" s="12" t="s">
        <v>59</v>
      </c>
      <c r="W2" s="138">
        <f>J2</f>
        <v>43890</v>
      </c>
      <c r="X2" s="123"/>
      <c r="Y2" s="124"/>
    </row>
    <row r="3" spans="1:28" ht="20.05" customHeight="1" x14ac:dyDescent="0.3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DO NOT RUN OVER 140UM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155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40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270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(140+130)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8" ht="20.05" customHeight="1" x14ac:dyDescent="0.35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198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270</v>
      </c>
      <c r="S9" s="20" t="s">
        <v>78</v>
      </c>
      <c r="T9" s="35">
        <v>360</v>
      </c>
      <c r="U9" s="20" t="s">
        <v>78</v>
      </c>
      <c r="V9" s="35">
        <v>150</v>
      </c>
      <c r="W9" s="19"/>
      <c r="X9" s="99" t="s">
        <v>195</v>
      </c>
      <c r="Y9" s="100"/>
    </row>
    <row r="10" spans="1:28" ht="20.05" customHeight="1" x14ac:dyDescent="0.3">
      <c r="A10" s="12" t="s">
        <v>51</v>
      </c>
      <c r="B10" s="73">
        <v>24</v>
      </c>
      <c r="C10" s="74"/>
      <c r="D10" s="54" t="s">
        <v>134</v>
      </c>
      <c r="E10" s="145">
        <f>IF(ISNUMBER(SEARCH("sheet",O8,1)),((R9*T9*H8/540000)*U7/2000*1.3),((R9*T9*H8/540000)*U7/1000*1.08))</f>
        <v>583.20000000000005</v>
      </c>
      <c r="F10" s="146"/>
      <c r="G10" s="12" t="s">
        <v>53</v>
      </c>
      <c r="H10" s="149">
        <f>IF(ISNUMBER(SEARCH("sheet",O8,1)),(U7*T9/2000*1.08),(U7*T9/1000*1.08))</f>
        <v>7776.0000000000009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188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24.3</v>
      </c>
      <c r="F11" s="148"/>
      <c r="G11" s="12" t="s">
        <v>15</v>
      </c>
      <c r="H11" s="147">
        <f>H10/B10</f>
        <v>324.00000000000006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>V</v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40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159"/>
      <c r="F17" s="160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159"/>
      <c r="F18" s="160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185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159"/>
      <c r="F19" s="160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159"/>
      <c r="F20" s="160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159"/>
      <c r="F21" s="160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>WHITE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08"/>
      <c r="E22" s="159"/>
      <c r="F22" s="160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 t="s">
        <v>196</v>
      </c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8"/>
      <c r="E23" s="161">
        <v>0.02</v>
      </c>
      <c r="F23" s="160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159"/>
      <c r="F24" s="160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Sheet2!$N$53:$N$54</xm:f>
          </x14:formula1>
          <xm:sqref>U16:V17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Sheet2!$N$53:$N$54</xm:f>
          </x14:formula1>
          <xm:sqref>R16:S18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43890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43880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A2833F9-E8DA-4250-B8A0-3CC2D03FA7C0}"/>
</file>

<file path=customXml/itemProps2.xml><?xml version="1.0" encoding="utf-8"?>
<ds:datastoreItem xmlns:ds="http://schemas.openxmlformats.org/officeDocument/2006/customXml" ds:itemID="{A83F8141-CAAF-431B-9D15-96BE37921EF6}"/>
</file>

<file path=customXml/itemProps3.xml><?xml version="1.0" encoding="utf-8"?>
<ds:datastoreItem xmlns:ds="http://schemas.openxmlformats.org/officeDocument/2006/customXml" ds:itemID="{52F78191-6AA6-49B3-931E-4B07B9476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2020-01-29T03:35:48Z</cp:lastPrinted>
  <dcterms:created xsi:type="dcterms:W3CDTF">2019-11-27T23:28:06Z</dcterms:created>
  <dcterms:modified xsi:type="dcterms:W3CDTF">2020-01-29T03:37:02Z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