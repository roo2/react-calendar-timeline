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FBB75C9-BDDA-4FCB-87B3-D7D6246EF5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<sst xmlns="http://schemas.openxmlformats.org/spreadsheetml/2006/main" count="307" uniqueCount="205">
  <si>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</si>
  <si>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</si>
  <si>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</si>
  <si>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</si>
  <si>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</si>
  <si>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</si>
  <si>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</si>
  <si>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</si>
  <si>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</si>
  <si>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</si>
  <si>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</si>
  <si>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</si>
  <si>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</si>
  <si>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</si>
  <si>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</si>
  <si>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</si>
  <si>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</si>
  <si>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</si>
  <si>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</si>
  <si>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</si>
  <si>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</si>
  <si>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</si>
  <si>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</si>
  <si>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</si>
  <si>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</si>
  <si>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</si>
  <si>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</si>
  <si>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</si>
  <si>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</si>
  <si>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</si>
  <si>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</si>
  <si>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</si>
  <si>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</si>
  <si>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</si>
  <si>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</si>
  <si>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</si>
  <si>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</si>
  <si>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</si>
  <si>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</si>
  <si>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</si>
  <si>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</si>
  <si>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</si>
  <si>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</si>
  <si>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</si>
  <si>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</si>
  <si>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</si>
  <si>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</si>
  <si>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</si>
  <si>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</si>
  <si>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</si>
  <si>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</si>
  <si>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</si>
  <si>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</si>
  <si>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</si>
  <si>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</si>
  <si>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</si>
  <si>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</si>
  <si>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</si>
  <si>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</si>
  <si>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</si>
  <si>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</si>
  <si>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</si>
  <si>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</si>
  <si>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</si>
  <si>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</si>
  <si>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</si>
  <si>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</si>
  <si>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</si>
  <si>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</si>
  <si>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</si>
  <si>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</si>
  <si>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</si>
  <si>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</si>
  <si>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</si>
  <si>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</si>
  <si>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</si>
  <si>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</si>
  <si>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</si>
  <si>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</si>
  <si>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</si>
  <si>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</si>
  <si>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</si>
  <si>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</si>
  <si>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</si>
  <si>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</si>
  <si>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</si>
  <si>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</si>
  <si>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</si>
  <si>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</si>
  <si>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</si>
  <si>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</si>
  <si>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</si>
  <si>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</si>
  <si>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</si>
  <si>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</si>
  <si>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</si>
  <si>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</si>
  <si>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</si>
  <si>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</si>
  <si>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</si>
  <si>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</si>
  <si>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</si>
  <si>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</si>
  <si>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</si>
  <si>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</si>
  <si>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</si>
  <si>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</si>
  <si>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</si>
  <si>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</si>
  <si>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</si>
  <si>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</si>
  <si>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</si>
  <si>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</si>
  <si>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</si>
  <si>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</si>
  <si>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</si>
  <si>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</si>
  <si>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</si>
  <si>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</si>
  <si>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</si>
  <si>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</si>
  <si>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</si>
  <si>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</si>
  <si>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</si>
  <si>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</si>
  <si>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</si>
  <si>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</si>
  <si>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</si>
  <si>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</si>
  <si>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</si>
  <si>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</si>
  <si>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</si>
  <si>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</si>
  <si>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</si>
  <si>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</si>
  <si>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</si>
  <si>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</si>
  <si>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</si>
  <si>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</si>
  <si>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</si>
  <si>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</si>
  <si>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</si>
  <si>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</si>
  <si>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</si>
  <si>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</si>
  <si>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</si>
  <si>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</si>
  <si>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</si>
  <si>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</si>
  <si>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</si>
  <si>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</si>
  <si>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</si>
  <si>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</si>
  <si>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</si>
  <si>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</si>
  <si>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</si>
  <si>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</si>
  <si>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</si>
  <si>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</si>
  <si>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</si>
  <si>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</si>
  <si>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</si>
  <si>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</si>
  <si>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</si>
  <si>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</si>
  <si>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</si>
  <si>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</si>
  <si>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</si>
  <si>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</si>
  <si>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</si>
  <si>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</si>
  <si>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</si>
  <si>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</si>
  <si>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</si>
  <si>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</si>
  <si>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</si>
  <si>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</si>
  <si>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</si>
  <si>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</si>
  <si>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</si>
  <si>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</si>
  <si>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</si>
  <si>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</si>
  <si>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</si>
  <si>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</si>
  <si>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</si>
  <si>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</si>
  <si>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</si>
  <si>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</si>
  <si>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</si>
  <si>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</si>
  <si>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</si>
  <si>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</si>
  <si>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</si>
  <si>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</si>
  <si>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</si>
  <si>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BLACK TINT</t>
  </si>
  <si>
    <t>2PBPAAL550</t>
  </si>
  <si>
    <t>TRIPLE M</t>
  </si>
  <si>
    <t>"6 HINGE SEAT / AL QUICK LOCK"</t>
  </si>
  <si>
    <t>ANTIBLOCK</t>
  </si>
  <si>
    <t>ANTISTATIC</t>
  </si>
  <si>
    <t>#1</t>
  </si>
  <si>
    <t>PERF</t>
  </si>
  <si>
    <t>VERY URGENT - CUSTOMER REQUIRES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</si>
</sst>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PBR9055050AS0P</v>
      </c>
      <c r="C1" s="111"/>
      <c r="D1" s="112"/>
      <c r="E1" s="10" t="s">
        <v>57</v>
      </c>
      <c r="F1" s="87" t="s">
        <v>198</v>
      </c>
      <c r="G1" s="87"/>
      <c r="H1" s="88"/>
      <c r="I1" s="11" t="s">
        <v>181</v>
      </c>
      <c r="J1" s="84">
        <f ca="1">TODAY()</f>
        <v>46094</v>
      </c>
      <c r="K1" s="84"/>
      <c r="L1" s="85"/>
      <c r="M1" s="28"/>
      <c r="N1" s="10" t="s">
        <v>56</v>
      </c>
      <c r="O1" s="111" t="str">
        <f>B1</f>
        <v>PBR9055050AS0P</v>
      </c>
      <c r="P1" s="111"/>
      <c r="Q1" s="112"/>
      <c r="R1" s="10" t="s">
        <v>57</v>
      </c>
      <c r="S1" s="111" t="str">
        <f>F1</f>
        <v>TRIPLE M</v>
      </c>
      <c r="T1" s="111"/>
      <c r="U1" s="112"/>
      <c r="V1" s="10" t="s">
        <v>181</v>
      </c>
      <c r="W1" s="84">
        <f ca="1">J1</f>
        <v>46094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>2PBPAAL550</v>
      </c>
      <c r="C2" s="111"/>
      <c r="D2" s="112"/>
      <c r="E2" s="10" t="s">
        <v>58</v>
      </c>
      <c r="F2" s="87">
        <v>948540</v>
      </c>
      <c r="G2" s="87"/>
      <c r="H2" s="88"/>
      <c r="I2" s="10" t="s">
        <v>59</v>
      </c>
      <c r="J2" s="86">
        <v>46115</v>
      </c>
      <c r="K2" s="87"/>
      <c r="L2" s="88"/>
      <c r="M2" s="28"/>
      <c r="N2" s="10" t="s">
        <v>100</v>
      </c>
      <c r="O2" s="111" t="str">
        <f>IF(B2="","",B2)</f>
        <v>2PBPAAL550</v>
      </c>
      <c r="P2" s="111"/>
      <c r="Q2" s="112"/>
      <c r="R2" s="10" t="s">
        <v>58</v>
      </c>
      <c r="S2" s="111">
        <f>IF(F2="","",F2)</f>
        <v>948540</v>
      </c>
      <c r="T2" s="111"/>
      <c r="U2" s="112"/>
      <c r="V2" s="10" t="s">
        <v>59</v>
      </c>
      <c r="W2" s="122">
        <f>J2</f>
        <v>46115</v>
      </c>
      <c r="X2" s="111"/>
      <c r="Y2" s="112"/>
    </row>
    <row r="3" spans="1:25" ht="20.100000000000001" customHeight="1" x14ac:dyDescent="0.25">
      <c r="A3" s="113" t="s">
        <v>204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Rolls</v>
      </c>
      <c r="O7" s="87">
        <v>5</v>
      </c>
      <c r="P7" s="88"/>
      <c r="Q7" s="10" t="str">
        <f>IF(ISNUMBER(SEARCH("roll",O8,1)),"Per Roll","Per Carton")</f>
        <v>Per Roll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5000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90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50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165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34</v>
      </c>
      <c r="L9" s="88"/>
      <c r="M9" s="28"/>
      <c r="N9" s="16"/>
      <c r="O9" s="127" t="str">
        <f>IF(O8="Poly Bag","PB",IF(O8="Poly Bag Roll","PBR",IF(O8="Centrefold Roll","CFR",IF(O8="Sheet","S",IF(O8="Sheet Roll","SR")))))</f>
        <v>PBR</v>
      </c>
      <c r="P9" s="128"/>
      <c r="Q9" s="16"/>
      <c r="R9" s="29">
        <v>90</v>
      </c>
      <c r="S9" s="17" t="s">
        <v>78</v>
      </c>
      <c r="T9" s="29">
        <v>550</v>
      </c>
      <c r="U9" s="17" t="s">
        <v>78</v>
      </c>
      <c r="V9" s="29">
        <v>50</v>
      </c>
      <c r="W9" s="16"/>
      <c r="X9" s="137"/>
      <c r="Y9" s="138"/>
    </row>
    <row r="10" spans="1:25" ht="20.100000000000001" customHeight="1" x14ac:dyDescent="0.25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24.75</v>
      </c>
      <c r="F10" s="102"/>
      <c r="G10" s="10" t="s">
        <v>53</v>
      </c>
      <c r="H10" s="105">
        <f>IF(ISNUMBER(SEARCH("sheet",O8,1)),(U7*T9/2000*1.08),(U7*T9/1000*1.08))</f>
        <v>2970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197</v>
      </c>
      <c r="V10" s="130"/>
      <c r="W10" s="130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3.09375</v>
      </c>
      <c r="F11" s="104"/>
      <c r="G11" s="10" t="s">
        <v>15</v>
      </c>
      <c r="H11" s="103">
        <f>H10/B10</f>
        <v>371.25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8" t="s">
        <v>199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/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/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Rolls</v>
      </c>
      <c r="U17" s="87" t="s">
        <v>31</v>
      </c>
      <c r="V17" s="88"/>
      <c r="W17" s="10" t="str">
        <f>IF(ISNUMBER(SEARCH("roll",O8,1)),"Total Rolls","Total Ctns")</f>
        <v>Total Rolls</v>
      </c>
      <c r="X17" s="140"/>
      <c r="Y17" s="141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/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0"/>
      <c r="Y18" s="141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201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200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203</v>
      </c>
      <c r="P25" s="33"/>
      <c r="Q25" s="9">
        <v>30</v>
      </c>
      <c r="R25" s="9">
        <v>9</v>
      </c>
      <c r="S25" s="9"/>
      <c r="T25" s="9">
        <v>8</v>
      </c>
      <c r="U25" s="9"/>
      <c r="V25" s="9">
        <v>3</v>
      </c>
      <c r="W25" s="9">
        <v>140</v>
      </c>
      <c r="X25" s="9">
        <v>140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202</v>
      </c>
      <c r="C27" s="7"/>
      <c r="D27" s="9">
        <v>50</v>
      </c>
      <c r="E27" s="58">
        <v>5.2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46115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7A4937-5EFA-43FA-B135-E530D29CD416}"/>
</file>

<file path=customXml/itemProps2.xml><?xml version="1.0" encoding="utf-8"?>
<ds:datastoreItem xmlns:ds="http://schemas.openxmlformats.org/officeDocument/2006/customXml" ds:itemID="{7C0D6060-F4E5-435F-A4E1-31589268B629}"/>
</file>

<file path=customXml/itemProps3.xml><?xml version="1.0" encoding="utf-8"?>
<ds:datastoreItem xmlns:ds="http://schemas.openxmlformats.org/officeDocument/2006/customXml" ds:itemID="{EB1A561C-C556-4AE5-87D0-278CD3B11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2026-03-13T03:30:55Z</cp:lastPrinted>
  <dcterms:created xsi:type="dcterms:W3CDTF">2019-11-27T23:28:06Z</dcterms:created>
  <dcterms:modified xsi:type="dcterms:W3CDTF">2026-03-13T04:12:08Z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