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DCE6C90-95BE-447B-90DF-0724B7BE66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C25" i="1" l="1"/>
  <c r="D9" i="1" l="1"/>
  <c r="E10" i="1" s="1"/>
  <c r="B11" i="1" l="1"/>
  <c r="A11" i="1"/>
  <c r="D8" i="1" l="1"/>
  <c r="K8" i="1" l="1"/>
  <c r="A24" i="1" l="1"/>
  <c r="C24" i="1" s="1"/>
  <c r="B1" i="1" s="1"/>
  <c r="F16" i="1" l="1"/>
  <c r="J1" i="1" l="1"/>
  <c r="A4" i="2" l="1"/>
  <c r="A5" i="2"/>
  <c r="H10" i="1"/>
  <c r="B2" i="1" l="1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<sst xmlns="http://schemas.openxmlformats.org/spreadsheetml/2006/main" count="226" uniqueCount="168">
  <si>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</si>
  <si>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</si>
  <si>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</si>
  <si>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</si>
  <si>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</si>
  <si>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</si>
  <si>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</si>
  <si>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</si>
  <si>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</si>
  <si>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</si>
  <si>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</si>
  <si>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</si>
  <si>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</si>
  <si>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</si>
  <si>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</si>
  <si>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</si>
  <si>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</si>
  <si>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</si>
  <si>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</si>
  <si>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</si>
  <si>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</si>
  <si>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</si>
  <si>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</si>
  <si>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</si>
  <si>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</si>
  <si>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</si>
  <si>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</si>
  <si>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</si>
  <si>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</si>
  <si>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</si>
  <si>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</si>
  <si>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</si>
  <si>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</si>
  <si>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</si>
  <si>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</si>
  <si>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</si>
  <si>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</si>
  <si>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</si>
  <si>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</si>
  <si>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</si>
  <si>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</si>
  <si>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</si>
  <si>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</si>
  <si>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</si>
  <si>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</si>
  <si>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</si>
  <si>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</si>
  <si>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</si>
  <si>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</si>
  <si>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</si>
  <si>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</si>
  <si>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</si>
  <si>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</si>
  <si>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</si>
  <si>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</si>
  <si>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</si>
  <si>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</si>
  <si>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</si>
  <si>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</si>
  <si>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</si>
  <si>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</si>
  <si>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</si>
  <si>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</si>
  <si>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</si>
  <si>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</si>
  <si>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</si>
  <si>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</si>
  <si>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</si>
  <si>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</si>
  <si>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</si>
  <si>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</si>
  <si>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</si>
  <si>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</si>
  <si>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</si>
  <si>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</si>
  <si>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</si>
  <si>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</si>
  <si>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</si>
  <si>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</si>
  <si>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</si>
  <si>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</si>
  <si>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</si>
  <si>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</si>
  <si>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</si>
  <si>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</si>
  <si>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</si>
  <si>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</si>
  <si>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</si>
  <si>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</si>
  <si>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</si>
  <si>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</si>
  <si>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</si>
  <si>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</si>
  <si>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</si>
  <si>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</si>
  <si>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</si>
  <si>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</si>
  <si>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</si>
  <si>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</si>
  <si>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</si>
  <si>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</si>
  <si>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</si>
  <si>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</si>
  <si>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</si>
  <si>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</si>
  <si>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</si>
  <si>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</si>
  <si>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</si>
  <si>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</si>
  <si>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</si>
  <si>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</si>
  <si>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</si>
  <si>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</si>
  <si>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</si>
  <si>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</si>
  <si>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</si>
  <si>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</si>
  <si>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</si>
  <si>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</si>
  <si>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</si>
  <si>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</si>
  <si>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</si>
  <si>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</si>
  <si>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</si>
  <si>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</si>
  <si>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</si>
  <si>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</si>
  <si>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</si>
  <si>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</si>
  <si>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</si>
  <si>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</si>
  <si>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</si>
  <si>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</si>
  <si>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</si>
  <si>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</si>
  <si>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</si>
  <si>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</si>
  <si>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</si>
  <si>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</si>
  <si>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</si>
  <si>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</si>
  <si>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</si>
  <si>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</si>
  <si>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</si>
  <si>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</si>
  <si>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</si>
  <si>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</si>
  <si>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</si>
  <si>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</si>
  <si>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</si>
  <si>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</si>
  <si>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</si>
  <si>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</si>
  <si>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</si>
  <si>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</si>
  <si>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</si>
  <si>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</si>
  <si>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</si>
  <si>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</si>
  <si>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</si>
  <si>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</si>
  <si>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</si>
  <si>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</si>
  <si>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</si>
  <si>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UNDER</t>
  </si>
  <si>
    <t>TONITTO CAKES</t>
  </si>
  <si>
    <t xml:space="preserve">NEW ITEM / NEW CUSTOMER NEAT ROLLS PLEASE 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</si>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</sst>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5" fillId="8" borderId="6" xfId="0" applyFont="1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10" fontId="15" fillId="8" borderId="4" xfId="0" applyNumberFormat="1" applyFont="1" applyFill="1" applyBorder="1" applyAlignment="1" applyProtection="1">
      <alignment horizontal="center"/>
      <protection locked="0"/>
    </xf>
    <xf numFmtId="10" fontId="15" fillId="8" borderId="5" xfId="0" applyNumberFormat="1" applyFont="1" applyFill="1" applyBorder="1" applyAlignment="1" applyProtection="1">
      <alignment horizontal="center"/>
      <protection locked="0"/>
    </xf>
    <xf numFmtId="0" fontId="15" fillId="8" borderId="4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I25" sqref="I25:J2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SR60040BT0</v>
      </c>
      <c r="C1" s="61"/>
      <c r="D1" s="62"/>
      <c r="E1" s="11" t="s">
        <v>55</v>
      </c>
      <c r="F1" s="51" t="s">
        <v>165</v>
      </c>
      <c r="G1" s="51"/>
      <c r="H1" s="52"/>
      <c r="I1" s="11" t="s">
        <v>148</v>
      </c>
      <c r="J1" s="76">
        <f ca="1">TODAY()</f>
        <v>45232</v>
      </c>
      <c r="K1" s="76"/>
      <c r="L1" s="77"/>
    </row>
    <row r="2" spans="1:14" ht="20.100000000000001" customHeight="1" x14ac:dyDescent="0.25">
      <c r="A2" s="11" t="s">
        <v>94</v>
      </c>
      <c r="B2" s="65" t="str">
        <f>(ROUNDUP(E11,0)&amp;"KG")&amp;" "&amp;(ROUNDUP(H11,0)&amp;"M")</f>
        <v>10KG 450M</v>
      </c>
      <c r="C2" s="65"/>
      <c r="D2" s="66"/>
      <c r="E2" s="11" t="s">
        <v>56</v>
      </c>
      <c r="F2" s="51">
        <v>946364</v>
      </c>
      <c r="G2" s="51"/>
      <c r="H2" s="52"/>
      <c r="I2" s="11" t="s">
        <v>57</v>
      </c>
      <c r="J2" s="78">
        <v>45002</v>
      </c>
      <c r="K2" s="51"/>
      <c r="L2" s="52"/>
    </row>
    <row r="3" spans="1:14" ht="20.100000000000001" customHeight="1" x14ac:dyDescent="0.25">
      <c r="A3" s="67" t="s">
        <v>166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158</v>
      </c>
      <c r="B7" s="51" t="s">
        <v>160</v>
      </c>
      <c r="C7" s="52"/>
      <c r="D7" s="11" t="s">
        <v>47</v>
      </c>
      <c r="E7" s="108" t="s">
        <v>127</v>
      </c>
      <c r="F7" s="108"/>
      <c r="G7" s="108"/>
      <c r="H7" s="108"/>
      <c r="I7" s="108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600</v>
      </c>
      <c r="C8" s="98"/>
      <c r="D8" s="12" t="str">
        <f>IF(B7="Tube","Gusset","Centrefold")</f>
        <v>Centrefold</v>
      </c>
      <c r="E8" s="93" t="str">
        <f>IF(B7="Cont Centrefold",B8*2,"")</f>
        <v/>
      </c>
      <c r="F8" s="94"/>
      <c r="G8" s="12" t="s">
        <v>50</v>
      </c>
      <c r="H8" s="97">
        <v>40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3</v>
      </c>
      <c r="C10" s="52"/>
      <c r="D10" s="36" t="s">
        <v>104</v>
      </c>
      <c r="E10" s="85">
        <f>E11*B10*2</f>
        <v>60</v>
      </c>
      <c r="F10" s="86"/>
      <c r="G10" s="11" t="s">
        <v>51</v>
      </c>
      <c r="H10" s="65">
        <f>H11*B10</f>
        <v>1350</v>
      </c>
      <c r="I10" s="66"/>
      <c r="J10" s="11" t="s">
        <v>39</v>
      </c>
      <c r="K10" s="51" t="s">
        <v>41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>Sheet Rolls</v>
      </c>
      <c r="B11" s="83">
        <f>IF(AND(B7="Cont Centrefold",D9="RUN 2 UP"),B10*2,IF(B7="Cont Centrefold",B10,IF(B7="Cont Sheet Roll",B10*2,"")))</f>
        <v>6</v>
      </c>
      <c r="C11" s="84"/>
      <c r="D11" s="42" t="s">
        <v>105</v>
      </c>
      <c r="E11" s="87">
        <v>10</v>
      </c>
      <c r="F11" s="88"/>
      <c r="G11" s="42" t="s">
        <v>13</v>
      </c>
      <c r="H11" s="89">
        <v>450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6" t="s">
        <v>11</v>
      </c>
      <c r="B12" s="107"/>
      <c r="C12" s="107"/>
      <c r="D12" s="107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3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35">
      <c r="A24" s="105" t="str">
        <f>(IF(E7="NATURAL","",E7))</f>
        <v>BLUE TINT</v>
      </c>
      <c r="B24" s="105"/>
      <c r="C24" s="12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BT</v>
      </c>
      <c r="D24" s="123"/>
      <c r="E24" s="120">
        <v>0.03</v>
      </c>
      <c r="F24" s="121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 t="s">
        <v>167</v>
      </c>
      <c r="B25" s="49"/>
      <c r="C25" s="63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>0</v>
      </c>
      <c r="D25" s="64"/>
      <c r="E25" s="103">
        <v>0.01</v>
      </c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6" t="s">
        <v>93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19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10" t="s">
        <v>101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1:12" ht="20.100000000000001" customHeight="1" x14ac:dyDescent="0.2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 ht="20.100000000000001" customHeight="1" x14ac:dyDescent="0.25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8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topLeftCell="A31" workbookViewId="0">
      <selection activeCell="H46" sqref="H4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45262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45253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49BF727-5DF7-48A3-A6B2-BC12053844CC}"/>
</file>

<file path=customXml/itemProps2.xml><?xml version="1.0" encoding="utf-8"?>
<ds:datastoreItem xmlns:ds="http://schemas.openxmlformats.org/officeDocument/2006/customXml" ds:itemID="{1056266C-8E57-41C2-A7CA-1EEB0D77A1FE}"/>
</file>

<file path=customXml/itemProps3.xml><?xml version="1.0" encoding="utf-8"?>
<ds:datastoreItem xmlns:ds="http://schemas.openxmlformats.org/officeDocument/2006/customXml" ds:itemID="{7D41ABEB-6867-4962-B084-DED7F0E0D1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2023-10-03T01:22:37Z</cp:lastPrinted>
  <dcterms:created xsi:type="dcterms:W3CDTF">2019-11-27T23:28:06Z</dcterms:created>
  <dcterms:modified xsi:type="dcterms:W3CDTF">2023-11-02T04:48:48Z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