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3182A85-B5A1-4754-99A5-0D1C3241374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<sst xmlns="http://schemas.openxmlformats.org/spreadsheetml/2006/main" count="305" uniqueCount="201">
  <si>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</si>
  <si>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</si>
  <si>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</si>
  <si>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</si>
  <si>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</si>
  <si>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</si>
  <si>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</si>
  <si>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</si>
  <si>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</si>
  <si>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</si>
  <si>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</si>
  <si>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</si>
  <si>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</si>
  <si>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</si>
  <si>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</si>
  <si>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</si>
  <si>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</si>
  <si>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</si>
  <si>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</si>
  <si>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</si>
  <si>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</si>
  <si>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</si>
  <si>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</si>
  <si>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</si>
  <si>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</si>
  <si>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</si>
  <si>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</si>
  <si>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</si>
  <si>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</si>
  <si>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</si>
  <si>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</si>
  <si>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</si>
  <si>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</si>
  <si>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</si>
  <si>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</si>
  <si>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</si>
  <si>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</si>
  <si>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</si>
  <si>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</si>
  <si>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</si>
  <si>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</si>
  <si>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</si>
  <si>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</si>
  <si>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</si>
  <si>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</si>
  <si>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</si>
  <si>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</si>
  <si>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</si>
  <si>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</si>
  <si>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</si>
  <si>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</si>
  <si>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</si>
  <si>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</si>
  <si>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</si>
  <si>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</si>
  <si>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</si>
  <si>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</si>
  <si>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</si>
  <si>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</si>
  <si>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</si>
  <si>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</si>
  <si>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</si>
  <si>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</si>
  <si>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</si>
  <si>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</si>
  <si>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</si>
  <si>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</si>
  <si>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</si>
  <si>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</si>
  <si>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</si>
  <si>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</si>
  <si>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</si>
  <si>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</si>
  <si>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</si>
  <si>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</si>
  <si>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</si>
  <si>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</si>
  <si>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</si>
  <si>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</si>
  <si>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</si>
  <si>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</si>
  <si>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</si>
  <si>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</si>
  <si>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</si>
  <si>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</si>
  <si>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</si>
  <si>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</si>
  <si>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</si>
  <si>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</si>
  <si>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</si>
  <si>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</si>
  <si>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</si>
  <si>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</si>
  <si>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</si>
  <si>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</si>
  <si>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</si>
  <si>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</si>
  <si>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</si>
  <si>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</si>
  <si>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</si>
  <si>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</si>
  <si>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</si>
  <si>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</si>
  <si>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</si>
  <si>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</si>
  <si>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</si>
  <si>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</si>
  <si>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</si>
  <si>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</si>
  <si>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</si>
  <si>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</si>
  <si>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</si>
  <si>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</si>
  <si>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</si>
  <si>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</si>
  <si>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</si>
  <si>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</si>
  <si>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</si>
  <si>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</si>
  <si>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</si>
  <si>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</si>
  <si>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</si>
  <si>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</si>
  <si>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</si>
  <si>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</si>
  <si>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</si>
  <si>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</si>
  <si>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</si>
  <si>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</si>
  <si>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</si>
  <si>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</si>
  <si>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</si>
  <si>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</si>
  <si>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</si>
  <si>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</si>
  <si>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</si>
  <si>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</si>
  <si>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</si>
  <si>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</si>
  <si>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</si>
  <si>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</si>
  <si>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</si>
  <si>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</si>
  <si>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</si>
  <si>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</si>
  <si>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</si>
  <si>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</si>
  <si>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</si>
  <si>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</si>
  <si>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</si>
  <si>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</si>
  <si>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</si>
  <si>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</si>
  <si>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</si>
  <si>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</si>
  <si>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</si>
  <si>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</si>
  <si>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</si>
  <si>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</si>
  <si>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</si>
  <si>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</si>
  <si>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</si>
  <si>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</si>
  <si>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</si>
  <si>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</si>
  <si>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</si>
  <si>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</si>
  <si>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</si>
  <si>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</si>
  <si>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</si>
  <si>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</si>
  <si>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</si>
  <si>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</si>
  <si>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</si>
  <si>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</si>
  <si>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</si>
  <si>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</si>
  <si>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</si>
  <si>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</si>
  <si>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</si>
  <si>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</si>
  <si>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</si>
  <si>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</si>
  <si>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</si>
  <si>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</si>
  <si>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</si>
  <si>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</si>
  <si>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</si>
  <si>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</si>
  <si>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</si>
  <si>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</si>
  <si>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</si>
  <si>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</si>
  <si>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</si>
  <si>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+/- 10mm</t>
  </si>
  <si>
    <t>(650+410)</t>
  </si>
  <si>
    <t>NOT OVER</t>
  </si>
  <si>
    <t>METRO NORTH</t>
  </si>
  <si>
    <t>LIMAX</t>
  </si>
  <si>
    <t>NO PRINTING &amp; NO VENTING - CUSTOM BAG FOR HOSPITAL</t>
  </si>
  <si>
    <t>Notes - COMPLETED BY 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</si>
</sst>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C12" sqref="AC12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3" t="str">
        <f>O9&amp;R9&amp;IF(X8="G","G","")&amp;IF(O8="Centrefold Roll","("&amp;E8&amp;")","")&amp;T9&amp;V9&amp;C22&amp;C23&amp;C24&amp;O11&amp;R11</f>
        <v>PB1060G69030</v>
      </c>
      <c r="C1" s="123"/>
      <c r="D1" s="124"/>
      <c r="E1" s="12" t="s">
        <v>57</v>
      </c>
      <c r="F1" s="134" t="s">
        <v>197</v>
      </c>
      <c r="G1" s="134"/>
      <c r="H1" s="135"/>
      <c r="I1" s="13" t="s">
        <v>181</v>
      </c>
      <c r="J1" s="136">
        <f ca="1">TODAY()</f>
        <v>44691</v>
      </c>
      <c r="K1" s="136"/>
      <c r="L1" s="137"/>
      <c r="M1" s="34"/>
      <c r="N1" s="12" t="s">
        <v>56</v>
      </c>
      <c r="O1" s="123" t="str">
        <f>B1</f>
        <v>PB1060G69030</v>
      </c>
      <c r="P1" s="123"/>
      <c r="Q1" s="124"/>
      <c r="R1" s="12" t="s">
        <v>57</v>
      </c>
      <c r="S1" s="123" t="str">
        <f>F1</f>
        <v>METRO NORTH</v>
      </c>
      <c r="T1" s="123"/>
      <c r="U1" s="124"/>
      <c r="V1" s="12" t="s">
        <v>181</v>
      </c>
      <c r="W1" s="136">
        <f ca="1">J1</f>
        <v>44691</v>
      </c>
      <c r="X1" s="136"/>
      <c r="Y1" s="137"/>
    </row>
    <row r="2" spans="1:28" ht="20.100000000000001" customHeight="1" x14ac:dyDescent="0.25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943037</v>
      </c>
      <c r="G2" s="73"/>
      <c r="H2" s="74"/>
      <c r="I2" s="12" t="s">
        <v>59</v>
      </c>
      <c r="J2" s="139" t="s">
        <v>192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943037</v>
      </c>
      <c r="T2" s="123"/>
      <c r="U2" s="124"/>
      <c r="V2" s="12" t="s">
        <v>59</v>
      </c>
      <c r="W2" s="138" t="str">
        <f>J2</f>
        <v>ASAP</v>
      </c>
      <c r="X2" s="123"/>
      <c r="Y2" s="124"/>
    </row>
    <row r="3" spans="1:28" ht="20.100000000000001" customHeight="1" x14ac:dyDescent="0.25">
      <c r="A3" s="125" t="s">
        <v>199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NO PRINTING &amp; NO VENTING - CUSTOM BAG FOR HOSPITAL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100000000000001" customHeight="1" x14ac:dyDescent="0.25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100000000000001" customHeight="1" x14ac:dyDescent="0.25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100000000000001" customHeight="1" x14ac:dyDescent="0.3">
      <c r="A7" s="12" t="s">
        <v>49</v>
      </c>
      <c r="B7" s="115" t="s">
        <v>163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20</v>
      </c>
      <c r="P7" s="74"/>
      <c r="Q7" s="12" t="str">
        <f>IF(ISNUMBER(SEARCH("roll",O8,1)),"Per Roll","Per Carton")</f>
        <v>Per Carton</v>
      </c>
      <c r="R7" s="73">
        <v>200</v>
      </c>
      <c r="S7" s="74"/>
      <c r="T7" s="12" t="str">
        <f>IF(ISNUMBER(SEARCH("bag",O8,1)),"Total Bags","Total Sheets")</f>
        <v>Total Bags</v>
      </c>
      <c r="U7" s="123">
        <f>R7*O7</f>
        <v>4000</v>
      </c>
      <c r="V7" s="124"/>
      <c r="W7" s="12" t="s">
        <v>102</v>
      </c>
      <c r="X7" s="73" t="s">
        <v>23</v>
      </c>
      <c r="Y7" s="74"/>
      <c r="AB7" s="14"/>
    </row>
    <row r="8" spans="1:28" ht="20.100000000000001" customHeight="1" x14ac:dyDescent="0.25">
      <c r="A8" s="15" t="s">
        <v>16</v>
      </c>
      <c r="B8" s="111">
        <f>R9</f>
        <v>1060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(650+410)</v>
      </c>
      <c r="F8" s="112"/>
      <c r="G8" s="15" t="s">
        <v>52</v>
      </c>
      <c r="H8" s="111">
        <f>(IF(V9&lt;30,"30",V9))</f>
        <v>30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Gusset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G</v>
      </c>
      <c r="Y8" s="110"/>
    </row>
    <row r="9" spans="1:28" ht="20.100000000000001" customHeight="1" x14ac:dyDescent="0.3">
      <c r="A9" s="18" t="s">
        <v>48</v>
      </c>
      <c r="B9" s="143" t="s">
        <v>194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196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1060</v>
      </c>
      <c r="S9" s="20" t="s">
        <v>78</v>
      </c>
      <c r="T9" s="35">
        <v>690</v>
      </c>
      <c r="U9" s="20" t="s">
        <v>78</v>
      </c>
      <c r="V9" s="35">
        <v>30</v>
      </c>
      <c r="W9" s="19"/>
      <c r="X9" s="99" t="s">
        <v>195</v>
      </c>
      <c r="Y9" s="100"/>
    </row>
    <row r="10" spans="1:28" ht="20.100000000000001" customHeight="1" x14ac:dyDescent="0.25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175.536</v>
      </c>
      <c r="F10" s="146"/>
      <c r="G10" s="12" t="s">
        <v>53</v>
      </c>
      <c r="H10" s="149">
        <f>IF(ISNUMBER(SEARCH("sheet",O8,1)),(U7*T9/2000*1.08),(U7*T9/1000*1.08))</f>
        <v>2980.8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43.884</v>
      </c>
      <c r="F11" s="148"/>
      <c r="G11" s="12" t="s">
        <v>15</v>
      </c>
      <c r="H11" s="147">
        <f>H10/B10</f>
        <v>745.2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100000000000001" customHeight="1" x14ac:dyDescent="0.25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100000000000001" customHeight="1" x14ac:dyDescent="0.25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4</v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100000000000001" customHeight="1" x14ac:dyDescent="0.25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100000000000001" customHeight="1" x14ac:dyDescent="0.25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110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23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100000000000001" customHeight="1" x14ac:dyDescent="0.25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100000000000001" customHeight="1" x14ac:dyDescent="0.25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23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100000000000001" customHeight="1" x14ac:dyDescent="0.25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200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72" t="str">
        <f>(IF(B7="NATURAL","",B7))</f>
        <v/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100000000000001" customHeight="1" x14ac:dyDescent="0.25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 t="s">
        <v>198</v>
      </c>
      <c r="P25" s="39"/>
      <c r="Q25" s="10">
        <v>26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44722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44712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42E1CC19-0CBC-45EE-A98D-47D3BED26187}"/>
</file>

<file path=customXml/itemProps2.xml><?xml version="1.0" encoding="utf-8"?>
<ds:datastoreItem xmlns:ds="http://schemas.openxmlformats.org/officeDocument/2006/customXml" ds:itemID="{AD14C28D-FEDE-4EC8-949D-FACB29303C68}"/>
</file>

<file path=customXml/itemProps3.xml><?xml version="1.0" encoding="utf-8"?>
<ds:datastoreItem xmlns:ds="http://schemas.openxmlformats.org/officeDocument/2006/customXml" ds:itemID="{9F70B033-8959-4F2F-9BE1-43C72004B6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2022-05-09T03:05:57Z</cp:lastPrinted>
  <dcterms:created xsi:type="dcterms:W3CDTF">2019-11-27T23:28:06Z</dcterms:created>
  <dcterms:modified xsi:type="dcterms:W3CDTF">2022-05-10T04:52:52Z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