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BCA7F22-717D-4DB9-B833-D18D24D3BF5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<sst xmlns="http://schemas.openxmlformats.org/spreadsheetml/2006/main" count="301" uniqueCount="199">
  <si>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</si>
  <si>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</si>
  <si>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</si>
  <si>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</si>
  <si>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</si>
  <si>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</si>
  <si>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</si>
  <si>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</si>
  <si>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</si>
  <si>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</si>
  <si>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</si>
  <si>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</si>
  <si>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</si>
  <si>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</si>
  <si>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</si>
  <si>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</si>
  <si>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</si>
  <si>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</si>
  <si>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</si>
  <si>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</si>
  <si>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</si>
  <si>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</si>
  <si>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</si>
  <si>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</si>
  <si>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</si>
  <si>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</si>
  <si>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</si>
  <si>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</si>
  <si>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</si>
  <si>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</si>
  <si>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</si>
  <si>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</si>
  <si>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</si>
  <si>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</si>
  <si>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</si>
  <si>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</si>
  <si>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</si>
  <si>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</si>
  <si>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</si>
  <si>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</si>
  <si>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</si>
  <si>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</si>
  <si>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</si>
  <si>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</si>
  <si>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</si>
  <si>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</si>
  <si>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</si>
  <si>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</si>
  <si>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</si>
  <si>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</si>
  <si>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</si>
  <si>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</si>
  <si>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</si>
  <si>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</si>
  <si>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</si>
  <si>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</si>
  <si>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</si>
  <si>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</si>
  <si>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</si>
  <si>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</si>
  <si>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</si>
  <si>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</si>
  <si>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</si>
  <si>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</si>
  <si>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</si>
  <si>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</si>
  <si>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</si>
  <si>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</si>
  <si>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</si>
  <si>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</si>
  <si>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</si>
  <si>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</si>
  <si>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</si>
  <si>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</si>
  <si>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</si>
  <si>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</si>
  <si>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</si>
  <si>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</si>
  <si>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</si>
  <si>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</si>
  <si>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</si>
  <si>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</si>
  <si>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</si>
  <si>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</si>
  <si>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</si>
  <si>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</si>
  <si>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</si>
  <si>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</si>
  <si>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</si>
  <si>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</si>
  <si>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</si>
  <si>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</si>
  <si>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</si>
  <si>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</si>
  <si>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</si>
  <si>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</si>
  <si>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</si>
  <si>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</si>
  <si>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</si>
  <si>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</si>
  <si>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</si>
  <si>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</si>
  <si>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</si>
  <si>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</si>
  <si>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</si>
  <si>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</si>
  <si>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</si>
  <si>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</si>
  <si>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</si>
  <si>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</si>
  <si>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</si>
  <si>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</si>
  <si>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</si>
  <si>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</si>
  <si>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</si>
  <si>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</si>
  <si>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</si>
  <si>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</si>
  <si>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</si>
  <si>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</si>
  <si>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</si>
  <si>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</si>
  <si>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</si>
  <si>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</si>
  <si>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</si>
  <si>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</si>
  <si>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</si>
  <si>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</si>
  <si>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</si>
  <si>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</si>
  <si>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</si>
  <si>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</si>
  <si>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</si>
  <si>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</si>
  <si>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</si>
  <si>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</si>
  <si>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</si>
  <si>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</si>
  <si>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</si>
  <si>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</si>
  <si>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</si>
  <si>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</si>
  <si>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</si>
  <si>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</si>
  <si>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</si>
  <si>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</si>
  <si>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</si>
  <si>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</si>
  <si>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</si>
  <si>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</si>
  <si>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</si>
  <si>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</si>
  <si>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</si>
  <si>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</si>
  <si>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</si>
  <si>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</si>
  <si>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</si>
  <si>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</si>
  <si>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</si>
  <si>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</si>
  <si>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</si>
  <si>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</si>
  <si>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</si>
  <si>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</si>
  <si>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</si>
  <si>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</si>
  <si>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</si>
  <si>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</si>
  <si>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</si>
  <si>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</si>
  <si>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</si>
  <si>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</si>
  <si>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</si>
  <si>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</si>
  <si>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</si>
  <si>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</si>
  <si>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</si>
  <si>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</si>
  <si>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</si>
  <si>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</si>
  <si>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</si>
  <si>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</si>
  <si>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</si>
  <si>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</si>
  <si>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</si>
  <si>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</si>
  <si>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</si>
  <si>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</si>
  <si>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</si>
  <si>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</si>
  <si>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</si>
  <si>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</si>
  <si>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</si>
  <si>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</si>
  <si>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</si>
  <si>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TOOWOOMBA WHOLESALE</t>
  </si>
  <si>
    <t xml:space="preserve"> +/- 5um</t>
  </si>
  <si>
    <t>PERF INLINE</t>
  </si>
  <si>
    <t xml:space="preserve">PERF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</si>
</sst>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5" fillId="0" borderId="2" xfId="0" applyNumberFormat="1" applyFont="1" applyBorder="1" applyAlignment="1" applyProtection="1">
      <alignment horizontal="center"/>
      <protection locked="0"/>
    </xf>
    <xf numFmtId="0" fontId="15" fillId="0" borderId="5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F1" sqref="F1:H1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PBR40040030</v>
      </c>
      <c r="C1" s="108"/>
      <c r="D1" s="109"/>
      <c r="E1" s="18" t="s">
        <v>56</v>
      </c>
      <c r="F1" s="164" t="s">
        <v>195</v>
      </c>
      <c r="G1" s="164"/>
      <c r="H1" s="165"/>
      <c r="I1" s="18" t="s">
        <v>180</v>
      </c>
      <c r="J1" s="119">
        <f ca="1">TODAY()</f>
        <v>44510</v>
      </c>
      <c r="K1" s="119"/>
      <c r="L1" s="120"/>
      <c r="M1" s="35"/>
      <c r="N1" s="18" t="s">
        <v>55</v>
      </c>
      <c r="O1" s="108" t="str">
        <f>B1</f>
        <v>PBR40040030</v>
      </c>
      <c r="P1" s="108"/>
      <c r="Q1" s="109"/>
      <c r="R1" s="18" t="s">
        <v>56</v>
      </c>
      <c r="S1" s="108" t="str">
        <f>F1</f>
        <v>TOOWOOMBA WHOLESALE</v>
      </c>
      <c r="T1" s="108"/>
      <c r="U1" s="109"/>
      <c r="V1" s="18" t="s">
        <v>180</v>
      </c>
      <c r="W1" s="119">
        <f ca="1">J1</f>
        <v>44510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941819</v>
      </c>
      <c r="G2" s="71"/>
      <c r="H2" s="72"/>
      <c r="I2" s="18" t="s">
        <v>58</v>
      </c>
      <c r="J2" s="129">
        <v>44540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941819</v>
      </c>
      <c r="T2" s="108"/>
      <c r="U2" s="109"/>
      <c r="V2" s="18" t="s">
        <v>58</v>
      </c>
      <c r="W2" s="121">
        <f>J2</f>
        <v>44540</v>
      </c>
      <c r="X2" s="108"/>
      <c r="Y2" s="109"/>
    </row>
    <row r="3" spans="1:25" ht="20.100000000000001" customHeight="1" x14ac:dyDescent="0.2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PERF INLINE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0" t="s">
        <v>1</v>
      </c>
      <c r="B6" s="141"/>
      <c r="C6" s="141"/>
      <c r="D6" s="141"/>
      <c r="E6" s="141"/>
      <c r="F6" s="141"/>
      <c r="G6" s="141"/>
      <c r="H6" s="141"/>
      <c r="I6" s="141"/>
      <c r="J6" s="90"/>
      <c r="K6" s="90"/>
      <c r="L6" s="91"/>
      <c r="M6" s="35"/>
      <c r="N6" s="124" t="s">
        <v>1</v>
      </c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6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10</v>
      </c>
      <c r="P7" s="72"/>
      <c r="Q7" s="18" t="str">
        <f>IF(ISNUMBER(SEARCH("roll",O8,1)),"Per Roll","Per Carton")</f>
        <v>Per Roll</v>
      </c>
      <c r="R7" s="71">
        <v>1000</v>
      </c>
      <c r="S7" s="72"/>
      <c r="T7" s="18" t="str">
        <f>IF(ISNUMBER(SEARCH("bag",O8,1)),"Total Bags","Total Sheets")</f>
        <v>Total Bags</v>
      </c>
      <c r="U7" s="108">
        <f>R7*O7</f>
        <v>10000</v>
      </c>
      <c r="V7" s="109"/>
      <c r="W7" s="18" t="s">
        <v>101</v>
      </c>
      <c r="X7" s="71" t="s">
        <v>30</v>
      </c>
      <c r="Y7" s="72"/>
    </row>
    <row r="8" spans="1:25" ht="20.100000000000001" customHeight="1" x14ac:dyDescent="0.25">
      <c r="A8" s="19" t="s">
        <v>15</v>
      </c>
      <c r="B8" s="127">
        <f>R9</f>
        <v>400</v>
      </c>
      <c r="C8" s="128"/>
      <c r="D8" s="22" t="str">
        <f>IF(ISNUMBER(SEARCH("bag",#REF!,1)),"Gusset","Centrefold")</f>
        <v>Centrefold</v>
      </c>
      <c r="E8" s="127" t="str">
        <f>IF(O8="Centrefold Roll",B8*2,IF(X9="","None",X9))</f>
        <v>None</v>
      </c>
      <c r="F8" s="128"/>
      <c r="G8" s="19" t="s">
        <v>51</v>
      </c>
      <c r="H8" s="127">
        <f>(IF(V9&lt;30,"30",V9))</f>
        <v>30</v>
      </c>
      <c r="I8" s="128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6" t="s">
        <v>164</v>
      </c>
      <c r="P8" s="137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23" t="s">
        <v>47</v>
      </c>
      <c r="B9" s="142" t="s">
        <v>194</v>
      </c>
      <c r="C9" s="143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2" t="s">
        <v>196</v>
      </c>
      <c r="I9" s="143"/>
      <c r="J9" s="18" t="s">
        <v>54</v>
      </c>
      <c r="K9" s="71" t="s">
        <v>33</v>
      </c>
      <c r="L9" s="72"/>
      <c r="M9" s="35"/>
      <c r="N9" s="24"/>
      <c r="O9" s="150" t="str">
        <f>IF(O8="Poly Bag","PB",IF(O8="Poly Bag Roll","PBR",IF(O8="Centrefold Roll","CFR",IF(O8="Sheet","S",IF(O8="Sheet Roll","SR")))))</f>
        <v>PBR</v>
      </c>
      <c r="P9" s="151"/>
      <c r="Q9" s="24"/>
      <c r="R9" s="36">
        <v>400</v>
      </c>
      <c r="S9" s="25" t="s">
        <v>77</v>
      </c>
      <c r="T9" s="36">
        <v>400</v>
      </c>
      <c r="U9" s="25" t="s">
        <v>77</v>
      </c>
      <c r="V9" s="36">
        <v>30</v>
      </c>
      <c r="W9" s="24"/>
      <c r="X9" s="134"/>
      <c r="Y9" s="135"/>
    </row>
    <row r="10" spans="1:25" ht="20.100000000000001" customHeight="1" x14ac:dyDescent="0.25">
      <c r="A10" s="18" t="s">
        <v>50</v>
      </c>
      <c r="B10" s="71">
        <v>10</v>
      </c>
      <c r="C10" s="72"/>
      <c r="D10" s="56" t="s">
        <v>133</v>
      </c>
      <c r="E10" s="144">
        <f>IF(ISNUMBER(SEARCH("sheet",O8,1)),((R9*T9*H8/540000)*U7/2000*1.3),((R9*T9*H8/540000)*U7/1000*1.08))</f>
        <v>96</v>
      </c>
      <c r="F10" s="145"/>
      <c r="G10" s="18" t="s">
        <v>52</v>
      </c>
      <c r="H10" s="148">
        <f>IF(ISNUMBER(SEARCH("sheet",O8,1)),(U7*T9/2000*1.08),(U7*T9/1000*1.08))</f>
        <v>4320</v>
      </c>
      <c r="I10" s="149"/>
      <c r="J10" s="18" t="s">
        <v>40</v>
      </c>
      <c r="K10" s="71" t="s">
        <v>43</v>
      </c>
      <c r="L10" s="72"/>
      <c r="M10" s="35"/>
      <c r="N10" s="26" t="s">
        <v>140</v>
      </c>
      <c r="O10" s="136" t="s">
        <v>43</v>
      </c>
      <c r="P10" s="137"/>
      <c r="Q10" s="20" t="s">
        <v>49</v>
      </c>
      <c r="R10" s="122" t="str">
        <f>IF(K11="NONE","None",IF(K11="INLINE","Yes",IF(K11="OUT OF LINE","Yes")))</f>
        <v>None</v>
      </c>
      <c r="S10" s="122"/>
      <c r="T10" s="20" t="s">
        <v>99</v>
      </c>
      <c r="U10" s="130"/>
      <c r="V10" s="130"/>
      <c r="W10" s="130"/>
      <c r="X10" s="130"/>
      <c r="Y10" s="131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6">
        <f>E10/B10</f>
        <v>9.6</v>
      </c>
      <c r="F11" s="147"/>
      <c r="G11" s="18" t="s">
        <v>14</v>
      </c>
      <c r="H11" s="146">
        <f>H10/B10</f>
        <v>432</v>
      </c>
      <c r="I11" s="147"/>
      <c r="J11" s="18" t="s">
        <v>49</v>
      </c>
      <c r="K11" s="71" t="s">
        <v>43</v>
      </c>
      <c r="L11" s="72"/>
      <c r="M11" s="35"/>
      <c r="N11" s="19"/>
      <c r="O11" s="127" t="str">
        <f>IF(O10="NONE","","V")</f>
        <v/>
      </c>
      <c r="P11" s="128"/>
      <c r="Q11" s="19"/>
      <c r="R11" s="127" t="str">
        <f>IF(R10="None","","P")</f>
        <v/>
      </c>
      <c r="S11" s="127"/>
      <c r="T11" s="19"/>
      <c r="U11" s="132"/>
      <c r="V11" s="132"/>
      <c r="W11" s="132"/>
      <c r="X11" s="132"/>
      <c r="Y11" s="133"/>
    </row>
    <row r="12" spans="1:25" ht="20.100000000000001" customHeight="1" x14ac:dyDescent="0.25">
      <c r="A12" s="138" t="s">
        <v>12</v>
      </c>
      <c r="B12" s="139"/>
      <c r="C12" s="139"/>
      <c r="D12" s="139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2"/>
      <c r="J17" s="163"/>
      <c r="K17" s="162"/>
      <c r="L17" s="163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2"/>
      <c r="J18" s="163"/>
      <c r="K18" s="162"/>
      <c r="L18" s="163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2"/>
      <c r="J19" s="163"/>
      <c r="K19" s="162"/>
      <c r="L19" s="163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2"/>
      <c r="J20" s="163"/>
      <c r="K20" s="162"/>
      <c r="L20" s="163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2"/>
      <c r="J21" s="163"/>
      <c r="K21" s="162"/>
      <c r="L21" s="163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2"/>
      <c r="J22" s="163"/>
      <c r="K22" s="162"/>
      <c r="L22" s="163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5"/>
      <c r="B23" s="155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2"/>
      <c r="J23" s="163"/>
      <c r="K23" s="162"/>
      <c r="L23" s="163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6"/>
      <c r="B24" s="157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2"/>
      <c r="J24" s="163"/>
      <c r="K24" s="162"/>
      <c r="L24" s="16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 t="s">
        <v>198</v>
      </c>
      <c r="P25" s="41"/>
      <c r="Q25" s="10">
        <v>36</v>
      </c>
      <c r="R25" s="10">
        <v>8</v>
      </c>
      <c r="S25" s="10"/>
      <c r="T25" s="10">
        <v>7</v>
      </c>
      <c r="U25" s="10"/>
      <c r="V25" s="10">
        <v>3</v>
      </c>
      <c r="W25" s="10">
        <v>135</v>
      </c>
      <c r="X25" s="10">
        <v>135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1"/>
      <c r="H27" s="161"/>
      <c r="I27" s="161"/>
      <c r="J27" s="16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1"/>
      <c r="H28" s="161"/>
      <c r="I28" s="161"/>
      <c r="J28" s="16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58" t="s">
        <v>98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60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2" t="s">
        <v>135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44540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44531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E9CC164-D019-49D5-99A0-01822060BD69}"/>
</file>

<file path=customXml/itemProps2.xml><?xml version="1.0" encoding="utf-8"?>
<ds:datastoreItem xmlns:ds="http://schemas.openxmlformats.org/officeDocument/2006/customXml" ds:itemID="{58543EE1-5BF3-4F39-A5AA-6FF1E652BA18}"/>
</file>

<file path=customXml/itemProps3.xml><?xml version="1.0" encoding="utf-8"?>
<ds:datastoreItem xmlns:ds="http://schemas.openxmlformats.org/officeDocument/2006/customXml" ds:itemID="{6A67DE97-A28D-401E-A296-9ED88AFB8C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2021-11-10T03:05:10Z</cp:lastPrinted>
  <dcterms:created xsi:type="dcterms:W3CDTF">2019-11-27T23:28:06Z</dcterms:created>
  <dcterms:modified xsi:type="dcterms:W3CDTF">2021-11-10T03:27:41Z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