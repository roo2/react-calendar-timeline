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B2679A5B-3C5B-4A0A-9092-9B2F519CC6A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C22" i="1"/>
  <c r="A22" i="1"/>
  <c r="W17" i="1"/>
  <c r="T17" i="1"/>
  <c r="W16" i="1"/>
  <c r="W13" i="1"/>
  <c r="U13" i="1"/>
  <c r="Q13" i="1"/>
  <c r="R11" i="1"/>
  <c r="O11" i="1"/>
  <c r="H11" i="1"/>
  <c r="E11" i="1"/>
  <c r="B11" i="1"/>
  <c r="A11" i="1"/>
  <c r="R10" i="1"/>
  <c r="H10" i="1"/>
  <c r="E10" i="1"/>
  <c r="O9" i="1"/>
  <c r="D9" i="1"/>
  <c r="X8" i="1"/>
  <c r="W8" i="1"/>
  <c r="K8" i="1"/>
  <c r="H8" i="1"/>
  <c r="E8" i="1"/>
  <c r="D8" i="1"/>
  <c r="B8" i="1"/>
  <c r="U7" i="1"/>
  <c r="T7" i="1"/>
  <c r="Q7" i="1"/>
  <c r="N7" i="1"/>
  <c r="N3" i="1"/>
  <c r="W2" i="1"/>
  <c r="S2" i="1"/>
  <c r="O2" i="1"/>
  <c r="B2" i="1"/>
  <c r="S1" i="1"/>
  <c r="O1" i="1"/>
  <c r="J1" i="1"/>
  <c r="B1" i="1"/>
  <c r="A5" i="2" l="1"/>
  <c r="A4" i="2"/>
  <c r="W1" i="1"/>
</calcChain>
</file>

<file path=xl/sharedStrings.xml><?xml version="1.0" encoding="utf-8"?>
<sst xmlns="http://schemas.openxmlformats.org/spreadsheetml/2006/main" count="306" uniqueCount="204">
  <si>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</si>
  <si>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</si>
  <si>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</si>
  <si>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</si>
  <si>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</si>
  <si>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</si>
  <si>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</si>
  <si>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</si>
  <si>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</si>
  <si>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</si>
  <si>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</si>
  <si>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</si>
  <si>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</si>
  <si>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</si>
  <si>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</si>
  <si>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</si>
  <si>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</si>
  <si>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</si>
  <si>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</si>
  <si>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</si>
  <si>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</si>
  <si>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</si>
  <si>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</si>
  <si>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</si>
  <si>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</si>
  <si>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</si>
  <si>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</si>
  <si>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</si>
  <si>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</si>
  <si>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</si>
  <si>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</si>
  <si>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</si>
  <si>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</si>
  <si>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</si>
  <si>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</si>
  <si>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</si>
  <si>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</si>
  <si>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</si>
  <si>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</si>
  <si>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</si>
  <si>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</si>
  <si>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</si>
  <si>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</si>
  <si>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</si>
  <si>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</si>
  <si>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</si>
  <si>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</si>
  <si>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</si>
  <si>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</si>
  <si>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</si>
  <si>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</si>
  <si>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</si>
  <si>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</si>
  <si>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</si>
  <si>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</si>
  <si>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</si>
  <si>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</si>
  <si>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</si>
  <si>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</si>
  <si>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</si>
  <si>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</si>
  <si>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</si>
  <si>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</si>
  <si>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</si>
  <si>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</si>
  <si>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</si>
  <si>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</si>
  <si>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</si>
  <si>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</si>
  <si>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</si>
  <si>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</si>
  <si>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</si>
  <si>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</si>
  <si>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</si>
  <si>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</si>
  <si>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</si>
  <si>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</si>
  <si>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</si>
  <si>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</si>
  <si>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</si>
  <si>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</si>
  <si>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</si>
  <si>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</si>
  <si>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</si>
  <si>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</si>
  <si>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</si>
  <si>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</si>
  <si>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</si>
  <si>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</si>
  <si>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</si>
  <si>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</si>
  <si>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</si>
  <si>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</si>
  <si>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</si>
  <si>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</si>
  <si>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</si>
  <si>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</si>
  <si>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</si>
  <si>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</si>
  <si>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</si>
  <si>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</si>
  <si>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</si>
  <si>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</si>
  <si>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</si>
  <si>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</si>
  <si>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</si>
  <si>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</si>
  <si>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</si>
  <si>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</si>
  <si>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</si>
  <si>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</si>
  <si>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</si>
  <si>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</si>
  <si>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</si>
  <si>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</si>
  <si>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</si>
  <si>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</si>
  <si>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</si>
  <si>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</si>
  <si>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</si>
  <si>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</si>
  <si>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</si>
  <si>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</si>
  <si>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</si>
  <si>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</si>
  <si>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</si>
  <si>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</si>
  <si>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</si>
  <si>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</si>
  <si>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</si>
  <si>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</si>
  <si>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</si>
  <si>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</si>
  <si>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</si>
  <si>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</si>
  <si>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</si>
  <si>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</si>
  <si>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</si>
  <si>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</si>
  <si>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</si>
  <si>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</si>
  <si>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</si>
  <si>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</si>
  <si>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</si>
  <si>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</si>
  <si>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</si>
  <si>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</si>
  <si>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</si>
  <si>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</si>
  <si>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</si>
  <si>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</si>
  <si>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</si>
  <si>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</si>
  <si>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</si>
  <si>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</si>
  <si>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</si>
  <si>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</si>
  <si>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</si>
  <si>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</si>
  <si>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</si>
  <si>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</si>
  <si>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</si>
  <si>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</si>
  <si>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</si>
  <si>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</si>
  <si>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</si>
  <si>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</si>
  <si>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</si>
  <si>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</si>
  <si>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</si>
  <si>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</si>
  <si>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</si>
  <si>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</si>
  <si>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</si>
  <si>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</si>
  <si>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</si>
  <si>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</si>
  <si>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</si>
  <si>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</si>
  <si>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</si>
  <si>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</si>
  <si>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</si>
  <si>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</si>
  <si>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</si>
  <si>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</si>
  <si>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</si>
  <si>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</si>
  <si>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</si>
  <si>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</si>
  <si>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</si>
  <si>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</si>
  <si>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</si>
  <si>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</si>
  <si>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</si>
  <si>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(750+430)</t>
  </si>
  <si>
    <t>ISBL3</t>
  </si>
  <si>
    <t>DOCUMENT DYNAMIX</t>
  </si>
  <si>
    <t xml:space="preserve"> +/- 10mm</t>
  </si>
  <si>
    <t>NOT OVER</t>
  </si>
  <si>
    <t>RUN INLINE ON 65 EXTRUDER - MUST BE NEAT ROLLS</t>
  </si>
  <si>
    <t>"DOCUMENT DYNAMIX ISBL3"</t>
  </si>
  <si>
    <t>PERF</t>
  </si>
  <si>
    <t>ANTIBLOCK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</si>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</sst>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5" t="str">
        <f>O9&amp;R9&amp;IF(X8="G","G","")&amp;IF(O8="Centrefold Roll","("&amp;E8&amp;")","")&amp;T9&amp;V9&amp;C22&amp;C23&amp;C24&amp;O11&amp;R11</f>
        <v>PBR1180G1500300ASP</v>
      </c>
      <c r="C1" s="95"/>
      <c r="D1" s="96"/>
      <c r="E1" s="16" t="s">
        <v>56</v>
      </c>
      <c r="F1" s="61" t="s">
        <v>196</v>
      </c>
      <c r="G1" s="61"/>
      <c r="H1" s="62"/>
      <c r="I1" s="16" t="s">
        <v>180</v>
      </c>
      <c r="J1" s="106">
        <f ca="1">TODAY()</f>
        <v>45947</v>
      </c>
      <c r="K1" s="106"/>
      <c r="L1" s="107"/>
      <c r="M1" s="30"/>
      <c r="N1" s="16" t="s">
        <v>55</v>
      </c>
      <c r="O1" s="95" t="str">
        <f>B1</f>
        <v>PBR1180G1500300ASP</v>
      </c>
      <c r="P1" s="95"/>
      <c r="Q1" s="96"/>
      <c r="R1" s="16" t="s">
        <v>56</v>
      </c>
      <c r="S1" s="95" t="str">
        <f>F1</f>
        <v>DOCUMENT DYNAMIX</v>
      </c>
      <c r="T1" s="95"/>
      <c r="U1" s="96"/>
      <c r="V1" s="16" t="s">
        <v>180</v>
      </c>
      <c r="W1" s="106">
        <f ca="1">J1</f>
        <v>45947</v>
      </c>
      <c r="X1" s="106"/>
      <c r="Y1" s="107"/>
    </row>
    <row r="2" spans="1:25" ht="20.149999999999999" customHeight="1" x14ac:dyDescent="0.8">
      <c r="A2" s="16" t="s">
        <v>99</v>
      </c>
      <c r="B2" s="95" t="str">
        <f>IF(U10="","",U10)</f>
        <v>ISBL3</v>
      </c>
      <c r="C2" s="95"/>
      <c r="D2" s="96"/>
      <c r="E2" s="16" t="s">
        <v>57</v>
      </c>
      <c r="F2" s="61">
        <v>949524</v>
      </c>
      <c r="G2" s="61"/>
      <c r="H2" s="62"/>
      <c r="I2" s="16" t="s">
        <v>58</v>
      </c>
      <c r="J2" s="116">
        <v>45967</v>
      </c>
      <c r="K2" s="61"/>
      <c r="L2" s="62"/>
      <c r="M2" s="30"/>
      <c r="N2" s="16" t="s">
        <v>99</v>
      </c>
      <c r="O2" s="95" t="str">
        <f>IF(B2="","",B2)</f>
        <v>ISBL3</v>
      </c>
      <c r="P2" s="95"/>
      <c r="Q2" s="96"/>
      <c r="R2" s="16" t="s">
        <v>57</v>
      </c>
      <c r="S2" s="95">
        <f>IF(F2="","",F2)</f>
        <v>949524</v>
      </c>
      <c r="T2" s="95"/>
      <c r="U2" s="96"/>
      <c r="V2" s="16" t="s">
        <v>58</v>
      </c>
      <c r="W2" s="108">
        <f>J2</f>
        <v>45967</v>
      </c>
      <c r="X2" s="95"/>
      <c r="Y2" s="96"/>
    </row>
    <row r="3" spans="1:25" ht="20.149999999999999" customHeight="1" x14ac:dyDescent="0.75">
      <c r="A3" s="97" t="s">
        <v>199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9"/>
      <c r="M3" s="30"/>
      <c r="N3" s="97" t="str">
        <f>A3</f>
        <v>RUN INLINE ON 65 EXTRUDER - MUST BE NEAT ROLLS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1:25" ht="20.149999999999999" customHeight="1" x14ac:dyDescent="0.75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2"/>
      <c r="M4" s="30"/>
      <c r="N4" s="100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2"/>
    </row>
    <row r="5" spans="1:25" ht="20.149999999999999" customHeight="1" x14ac:dyDescent="0.75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30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5"/>
    </row>
    <row r="6" spans="1:25" ht="20.149999999999999" customHeight="1" x14ac:dyDescent="0.75">
      <c r="A6" s="123" t="s">
        <v>1</v>
      </c>
      <c r="B6" s="124"/>
      <c r="C6" s="124"/>
      <c r="D6" s="124"/>
      <c r="E6" s="124"/>
      <c r="F6" s="124"/>
      <c r="G6" s="124"/>
      <c r="H6" s="124"/>
      <c r="I6" s="124"/>
      <c r="J6" s="80"/>
      <c r="K6" s="80"/>
      <c r="L6" s="81"/>
      <c r="M6" s="30"/>
      <c r="N6" s="111" t="s">
        <v>1</v>
      </c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3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89" t="s">
        <v>178</v>
      </c>
      <c r="K7" s="89"/>
      <c r="L7" s="90"/>
      <c r="M7" s="30"/>
      <c r="N7" s="16" t="str">
        <f>IF(ISNUMBER(SEARCH("roll",O8,1)),"No. Rolls","No. Cartons")</f>
        <v>No. Rolls</v>
      </c>
      <c r="O7" s="61">
        <v>30</v>
      </c>
      <c r="P7" s="62"/>
      <c r="Q7" s="16" t="str">
        <f>IF(ISNUMBER(SEARCH("roll",O8,1)),"Per Roll","Per Carton")</f>
        <v>Per Roll</v>
      </c>
      <c r="R7" s="61">
        <v>100</v>
      </c>
      <c r="S7" s="62"/>
      <c r="T7" s="16" t="str">
        <f>IF(ISNUMBER(SEARCH("bag",O8,1)),"Total Bags","Total Sheets")</f>
        <v>Total Bags</v>
      </c>
      <c r="U7" s="95">
        <f>R7*O7</f>
        <v>3000</v>
      </c>
      <c r="V7" s="96"/>
      <c r="W7" s="16" t="s">
        <v>101</v>
      </c>
      <c r="X7" s="61" t="s">
        <v>22</v>
      </c>
      <c r="Y7" s="62"/>
    </row>
    <row r="8" spans="1:25" ht="20.149999999999999" customHeight="1" x14ac:dyDescent="0.8">
      <c r="A8" s="17" t="s">
        <v>15</v>
      </c>
      <c r="B8" s="114">
        <f>R9</f>
        <v>1180</v>
      </c>
      <c r="C8" s="115"/>
      <c r="D8" s="20" t="str">
        <f>IF(ISNUMBER(SEARCH("bag",#REF!,1)),"Gusset","Centrefold")</f>
        <v>Centrefold</v>
      </c>
      <c r="E8" s="114" t="str">
        <f>IF(O8="Centrefold Roll",B8*2,IF(X9="","None",X9))</f>
        <v>(750+430)</v>
      </c>
      <c r="F8" s="115"/>
      <c r="G8" s="17" t="s">
        <v>51</v>
      </c>
      <c r="H8" s="114">
        <f>(IF(V9&lt;30,"30",V9))</f>
        <v>30</v>
      </c>
      <c r="I8" s="115"/>
      <c r="J8" s="16" t="s">
        <v>53</v>
      </c>
      <c r="K8" s="95" t="str">
        <f>IF(X8="None","Layflat Tube",IF(X8="","Layflat Tube",IF(X8="CF","Layflat Tube",IF(X8="G","Gusset Tube",IF(X9="","Layflat Tube",)))))</f>
        <v>Gusset Tube</v>
      </c>
      <c r="L8" s="96"/>
      <c r="M8" s="30"/>
      <c r="N8" s="18" t="s">
        <v>53</v>
      </c>
      <c r="O8" s="119" t="s">
        <v>164</v>
      </c>
      <c r="P8" s="120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5" ht="20.149999999999999" customHeight="1" x14ac:dyDescent="0.9">
      <c r="A9" s="21" t="s">
        <v>47</v>
      </c>
      <c r="B9" s="125" t="s">
        <v>197</v>
      </c>
      <c r="C9" s="126"/>
      <c r="D9" s="94" t="str">
        <f>IF(K10="Middle","RUN 2 UP",IF(AND(O8="Centrefold Roll",B8=380),"RUN 2 UP",""))</f>
        <v/>
      </c>
      <c r="E9" s="68"/>
      <c r="F9" s="69"/>
      <c r="G9" s="21" t="s">
        <v>47</v>
      </c>
      <c r="H9" s="125" t="s">
        <v>198</v>
      </c>
      <c r="I9" s="126"/>
      <c r="J9" s="16" t="s">
        <v>54</v>
      </c>
      <c r="K9" s="61" t="s">
        <v>33</v>
      </c>
      <c r="L9" s="62"/>
      <c r="M9" s="30"/>
      <c r="N9" s="22"/>
      <c r="O9" s="133" t="str">
        <f>IF(O8="Poly Bag","PB",IF(O8="Poly Bag Roll","PBR",IF(O8="Centrefold Roll","CFR",IF(O8="Sheet","S",IF(O8="Sheet Roll","SR")))))</f>
        <v>PBR</v>
      </c>
      <c r="P9" s="134"/>
      <c r="Q9" s="22"/>
      <c r="R9" s="31">
        <v>1180</v>
      </c>
      <c r="S9" s="23" t="s">
        <v>77</v>
      </c>
      <c r="T9" s="31">
        <v>1500</v>
      </c>
      <c r="U9" s="23" t="s">
        <v>77</v>
      </c>
      <c r="V9" s="31">
        <v>30</v>
      </c>
      <c r="W9" s="22"/>
      <c r="X9" s="117" t="s">
        <v>194</v>
      </c>
      <c r="Y9" s="118"/>
    </row>
    <row r="10" spans="1:25" ht="20.149999999999999" customHeight="1" x14ac:dyDescent="0.8">
      <c r="A10" s="16" t="s">
        <v>50</v>
      </c>
      <c r="B10" s="61">
        <v>30</v>
      </c>
      <c r="C10" s="62"/>
      <c r="D10" s="49" t="s">
        <v>133</v>
      </c>
      <c r="E10" s="127">
        <f>IF(ISNUMBER(SEARCH("sheet",O8,1)),((R9*T9*H8/540000)*U7/2000*1.3),((R9*T9*H8/540000)*U7/1000*1.08))</f>
        <v>318.60000000000002</v>
      </c>
      <c r="F10" s="128"/>
      <c r="G10" s="16" t="s">
        <v>52</v>
      </c>
      <c r="H10" s="131">
        <f>IF(ISNUMBER(SEARCH("sheet",O8,1)),(U7*T9/2000*1.08),(U7*T9/1000*1.08))</f>
        <v>4860</v>
      </c>
      <c r="I10" s="132"/>
      <c r="J10" s="16" t="s">
        <v>40</v>
      </c>
      <c r="K10" s="61" t="s">
        <v>43</v>
      </c>
      <c r="L10" s="62"/>
      <c r="M10" s="30"/>
      <c r="N10" s="18" t="s">
        <v>140</v>
      </c>
      <c r="O10" s="119" t="s">
        <v>43</v>
      </c>
      <c r="P10" s="120"/>
      <c r="Q10" s="18" t="s">
        <v>49</v>
      </c>
      <c r="R10" s="109" t="str">
        <f>IF(K11="NONE","None",IF(K11="INLINE","Yes",IF(K11="OUT OF LINE","Yes")))</f>
        <v>Yes</v>
      </c>
      <c r="S10" s="109"/>
      <c r="T10" s="18" t="s">
        <v>99</v>
      </c>
      <c r="U10" s="98" t="s">
        <v>195</v>
      </c>
      <c r="V10" s="98"/>
      <c r="W10" s="98"/>
      <c r="X10" s="98"/>
      <c r="Y10" s="99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5" t="str">
        <f>IF(AND(O8="Centrefold Roll",D9="RUN 2 UP"),B10*2,IF(ISNUMBER(SEARCH("sheet",O8,1)),B10*2,""))</f>
        <v/>
      </c>
      <c r="C11" s="96"/>
      <c r="D11" s="16" t="s">
        <v>134</v>
      </c>
      <c r="E11" s="129">
        <f>E10/B10</f>
        <v>10.620000000000001</v>
      </c>
      <c r="F11" s="130"/>
      <c r="G11" s="16" t="s">
        <v>14</v>
      </c>
      <c r="H11" s="129">
        <f>H10/B10</f>
        <v>162</v>
      </c>
      <c r="I11" s="130"/>
      <c r="J11" s="16" t="s">
        <v>49</v>
      </c>
      <c r="K11" s="61" t="s">
        <v>64</v>
      </c>
      <c r="L11" s="62"/>
      <c r="M11" s="30"/>
      <c r="N11" s="17"/>
      <c r="O11" s="114" t="str">
        <f>IF(O10="NONE","","V")</f>
        <v/>
      </c>
      <c r="P11" s="115"/>
      <c r="Q11" s="17"/>
      <c r="R11" s="114" t="str">
        <f>IF(R10="None","","P")</f>
        <v>P</v>
      </c>
      <c r="S11" s="114"/>
      <c r="T11" s="17"/>
      <c r="U11" s="104"/>
      <c r="V11" s="104"/>
      <c r="W11" s="104"/>
      <c r="X11" s="104"/>
      <c r="Y11" s="105"/>
    </row>
    <row r="12" spans="1:25" ht="20.149999999999999" customHeight="1" x14ac:dyDescent="0.75">
      <c r="A12" s="121" t="s">
        <v>12</v>
      </c>
      <c r="B12" s="122"/>
      <c r="C12" s="122"/>
      <c r="D12" s="122"/>
      <c r="E12" s="66"/>
      <c r="F12" s="66"/>
      <c r="G12" s="66"/>
      <c r="H12" s="66"/>
      <c r="I12" s="66"/>
      <c r="J12" s="66"/>
      <c r="K12" s="66"/>
      <c r="L12" s="67"/>
      <c r="M12" s="30"/>
      <c r="N12" s="91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16" t="s">
        <v>67</v>
      </c>
      <c r="B13" s="61" t="s">
        <v>69</v>
      </c>
      <c r="C13" s="61"/>
      <c r="D13" s="62"/>
      <c r="E13" s="24" t="s">
        <v>60</v>
      </c>
      <c r="F13" s="61" t="s">
        <v>65</v>
      </c>
      <c r="G13" s="61"/>
      <c r="H13" s="62"/>
      <c r="I13" s="16" t="s">
        <v>61</v>
      </c>
      <c r="J13" s="61" t="s">
        <v>152</v>
      </c>
      <c r="K13" s="61"/>
      <c r="L13" s="62"/>
      <c r="M13" s="30"/>
      <c r="N13" s="16" t="s">
        <v>71</v>
      </c>
      <c r="O13" s="32" t="s">
        <v>56</v>
      </c>
      <c r="P13" s="16" t="s">
        <v>72</v>
      </c>
      <c r="Q13" s="25">
        <f>O7</f>
        <v>30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 t="str">
        <f>IF(AND((O17="LOOSE"),(NOT(O18="BUNDLE"))),"",IF(AND((O17="LINED"),(NOT(O18="BUNDLE"))),"",(IF(R7&lt;=500,"50",IF(R7&gt;500,"100")))))</f>
        <v>50</v>
      </c>
      <c r="X13" s="16" t="s">
        <v>75</v>
      </c>
      <c r="Y13" s="33"/>
    </row>
    <row r="14" spans="1:25" ht="20.149999999999999" customHeight="1" x14ac:dyDescent="0.9">
      <c r="A14" s="17" t="s">
        <v>59</v>
      </c>
      <c r="B14" s="68" t="s">
        <v>200</v>
      </c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88" t="s">
        <v>107</v>
      </c>
      <c r="O15" s="89"/>
      <c r="P15" s="90"/>
      <c r="Q15" s="88" t="s">
        <v>106</v>
      </c>
      <c r="R15" s="89"/>
      <c r="S15" s="90"/>
      <c r="T15" s="88" t="s">
        <v>117</v>
      </c>
      <c r="U15" s="89"/>
      <c r="V15" s="90"/>
      <c r="W15" s="88" t="s">
        <v>116</v>
      </c>
      <c r="X15" s="89"/>
      <c r="Y15" s="90"/>
    </row>
    <row r="16" spans="1:25" ht="20.149999999999999" customHeight="1" x14ac:dyDescent="0.8">
      <c r="A16" s="88" t="s">
        <v>2</v>
      </c>
      <c r="B16" s="90"/>
      <c r="C16" s="88" t="s">
        <v>141</v>
      </c>
      <c r="D16" s="90"/>
      <c r="E16" s="88" t="s">
        <v>3</v>
      </c>
      <c r="F16" s="90"/>
      <c r="G16" s="88" t="s">
        <v>4</v>
      </c>
      <c r="H16" s="90"/>
      <c r="I16" s="88" t="s">
        <v>10</v>
      </c>
      <c r="J16" s="90"/>
      <c r="K16" s="89" t="s">
        <v>11</v>
      </c>
      <c r="L16" s="90"/>
      <c r="M16" s="30"/>
      <c r="N16" s="16" t="s">
        <v>27</v>
      </c>
      <c r="O16" s="61"/>
      <c r="P16" s="62"/>
      <c r="Q16" s="16" t="s">
        <v>104</v>
      </c>
      <c r="R16" s="61" t="s">
        <v>22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0"/>
      <c r="J17" s="141"/>
      <c r="K17" s="140"/>
      <c r="L17" s="141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22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0"/>
      <c r="J18" s="141"/>
      <c r="K18" s="140"/>
      <c r="L18" s="141"/>
      <c r="M18" s="30"/>
      <c r="N18" s="16" t="s">
        <v>100</v>
      </c>
      <c r="O18" s="61"/>
      <c r="P18" s="62"/>
      <c r="Q18" s="16" t="s">
        <v>105</v>
      </c>
      <c r="R18" s="61" t="s">
        <v>22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0"/>
      <c r="J19" s="141"/>
      <c r="K19" s="140"/>
      <c r="L19" s="141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0"/>
      <c r="J20" s="141"/>
      <c r="K20" s="140"/>
      <c r="L20" s="141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0"/>
      <c r="J21" s="141"/>
      <c r="K21" s="140"/>
      <c r="L21" s="141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0"/>
      <c r="J22" s="141"/>
      <c r="K22" s="140"/>
      <c r="L22" s="141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35" t="s">
        <v>202</v>
      </c>
      <c r="B23" s="135"/>
      <c r="C23" s="8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7"/>
      <c r="E23" s="83"/>
      <c r="F23" s="84"/>
      <c r="G23" s="34" t="s">
        <v>86</v>
      </c>
      <c r="H23" s="35"/>
      <c r="I23" s="140"/>
      <c r="J23" s="141"/>
      <c r="K23" s="140"/>
      <c r="L23" s="141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36" t="s">
        <v>203</v>
      </c>
      <c r="B24" s="137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87"/>
      <c r="E24" s="83"/>
      <c r="F24" s="84"/>
      <c r="G24" s="34" t="s">
        <v>87</v>
      </c>
      <c r="H24" s="35"/>
      <c r="I24" s="140"/>
      <c r="J24" s="141"/>
      <c r="K24" s="140"/>
      <c r="L24" s="141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 t="s">
        <v>201</v>
      </c>
      <c r="P25" s="36"/>
      <c r="Q25" s="10">
        <v>22</v>
      </c>
      <c r="R25" s="10">
        <v>8</v>
      </c>
      <c r="S25" s="10"/>
      <c r="T25" s="10">
        <v>6</v>
      </c>
      <c r="U25" s="10"/>
      <c r="V25" s="10">
        <v>3</v>
      </c>
      <c r="W25" s="10">
        <v>150</v>
      </c>
      <c r="X25" s="10">
        <v>150</v>
      </c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39"/>
      <c r="H27" s="139"/>
      <c r="I27" s="139"/>
      <c r="J27" s="139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39"/>
      <c r="H28" s="139"/>
      <c r="I28" s="139"/>
      <c r="J28" s="139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21" t="s">
        <v>98</v>
      </c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38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1" t="s">
        <v>135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3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45978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45968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519E272-83E7-46C0-9A9F-8371C8A4113D}"/>
</file>

<file path=customXml/itemProps2.xml><?xml version="1.0" encoding="utf-8"?>
<ds:datastoreItem xmlns:ds="http://schemas.openxmlformats.org/officeDocument/2006/customXml" ds:itemID="{E60C2A54-F634-476B-B85D-D6EADE32604A}"/>
</file>

<file path=customXml/itemProps3.xml><?xml version="1.0" encoding="utf-8"?>
<ds:datastoreItem xmlns:ds="http://schemas.openxmlformats.org/officeDocument/2006/customXml" ds:itemID="{538ED2E0-29EB-44A1-B675-C72F7CCDAA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2025-10-16T23:53:44Z</cp:lastPrinted>
  <dcterms:created xsi:type="dcterms:W3CDTF">2019-11-27T23:28:06Z</dcterms:created>
  <dcterms:modified xsi:type="dcterms:W3CDTF">2025-10-23T22:57:19Z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