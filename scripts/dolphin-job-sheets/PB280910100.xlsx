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CCB7E7-9F4C-4534-B49F-1E948D272C9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<sst xmlns="http://schemas.openxmlformats.org/spreadsheetml/2006/main" count="306" uniqueCount="200">
  <si>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</si>
  <si>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</si>
  <si>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</si>
  <si>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</si>
  <si>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</si>
  <si>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</si>
  <si>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</si>
  <si>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</si>
  <si>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</si>
  <si>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</si>
  <si>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</si>
  <si>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</si>
  <si>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</si>
  <si>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</si>
  <si>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</si>
  <si>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</si>
  <si>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</si>
  <si>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</si>
  <si>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</si>
  <si>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</si>
  <si>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</si>
  <si>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</si>
  <si>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</si>
  <si>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</si>
  <si>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</si>
  <si>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</si>
  <si>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</si>
  <si>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</si>
  <si>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</si>
  <si>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</si>
  <si>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</si>
  <si>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</si>
  <si>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</si>
  <si>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</si>
  <si>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</si>
  <si>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</si>
  <si>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</si>
  <si>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</si>
  <si>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</si>
  <si>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</si>
  <si>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</si>
  <si>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</si>
  <si>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</si>
  <si>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</si>
  <si>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</si>
  <si>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</si>
  <si>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</si>
  <si>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</si>
  <si>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</si>
  <si>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</si>
  <si>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</si>
  <si>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</si>
  <si>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</si>
  <si>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</si>
  <si>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</si>
  <si>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</si>
  <si>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</si>
  <si>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</si>
  <si>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</si>
  <si>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</si>
  <si>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</si>
  <si>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</si>
  <si>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</si>
  <si>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</si>
  <si>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</si>
  <si>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</si>
  <si>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</si>
  <si>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</si>
  <si>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</si>
  <si>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</si>
  <si>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</si>
  <si>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</si>
  <si>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</si>
  <si>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</si>
  <si>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</si>
  <si>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</si>
  <si>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</si>
  <si>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</si>
  <si>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</si>
  <si>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</si>
  <si>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</si>
  <si>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</si>
  <si>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</si>
  <si>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</si>
  <si>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</si>
  <si>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</si>
  <si>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</si>
  <si>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</si>
  <si>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</si>
  <si>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</si>
  <si>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</si>
  <si>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</si>
  <si>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</si>
  <si>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</si>
  <si>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</si>
  <si>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</si>
  <si>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</si>
  <si>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</si>
  <si>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</si>
  <si>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</si>
  <si>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</si>
  <si>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</si>
  <si>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</si>
  <si>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</si>
  <si>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</si>
  <si>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</si>
  <si>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</si>
  <si>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</si>
  <si>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</si>
  <si>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</si>
  <si>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</si>
  <si>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</si>
  <si>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</si>
  <si>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</si>
  <si>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</si>
  <si>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</si>
  <si>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</si>
  <si>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</si>
  <si>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</si>
  <si>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</si>
  <si>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</si>
  <si>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</si>
  <si>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</si>
  <si>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</si>
  <si>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</si>
  <si>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</si>
  <si>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</si>
  <si>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</si>
  <si>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</si>
  <si>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</si>
  <si>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</si>
  <si>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</si>
  <si>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</si>
  <si>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</si>
  <si>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</si>
  <si>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</si>
  <si>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</si>
  <si>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</si>
  <si>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</si>
  <si>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</si>
  <si>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</si>
  <si>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</si>
  <si>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</si>
  <si>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</si>
  <si>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</si>
  <si>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</si>
  <si>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</si>
  <si>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</si>
  <si>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</si>
  <si>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</si>
  <si>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</si>
  <si>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</si>
  <si>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</si>
  <si>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</si>
  <si>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</si>
  <si>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</si>
  <si>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</si>
  <si>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</si>
  <si>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</si>
  <si>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</si>
  <si>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</si>
  <si>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</si>
  <si>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</si>
  <si>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</si>
  <si>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</si>
  <si>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</si>
  <si>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</si>
  <si>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</si>
  <si>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</si>
  <si>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</si>
  <si>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</si>
  <si>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</si>
  <si>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</si>
  <si>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</si>
  <si>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</si>
  <si>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</si>
  <si>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</si>
  <si>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</si>
  <si>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</si>
  <si>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</si>
  <si>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</si>
  <si>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</si>
  <si>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</si>
  <si>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</si>
  <si>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</si>
  <si>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</si>
  <si>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</si>
  <si>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</si>
  <si>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</si>
  <si>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</si>
  <si>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</si>
  <si>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</si>
  <si>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</si>
  <si>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</si>
  <si>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+/- 3mm</t>
  </si>
  <si>
    <t>ANTISTATIC</t>
  </si>
  <si>
    <t xml:space="preserve">LIMAX </t>
  </si>
  <si>
    <t>NOT UNDER</t>
  </si>
  <si>
    <t>FERNLAND</t>
  </si>
  <si>
    <t>******NEW ITEM *****                                                                                                       PLANTER SLEEVE - NO SEAL - NO HEAT - NO DRAINAGE HOLES - NO GUSSET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</si>
</sst>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0" sqref="O10:P10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PB280360100BKAS</v>
      </c>
      <c r="C1" s="110"/>
      <c r="D1" s="111"/>
      <c r="E1" s="11" t="s">
        <v>57</v>
      </c>
      <c r="F1" s="62" t="s">
        <v>198</v>
      </c>
      <c r="G1" s="62"/>
      <c r="H1" s="63"/>
      <c r="I1" s="12" t="s">
        <v>181</v>
      </c>
      <c r="J1" s="112">
        <f ca="1">TODAY()</f>
        <v>45974</v>
      </c>
      <c r="K1" s="112"/>
      <c r="L1" s="113"/>
      <c r="M1" s="29"/>
      <c r="N1" s="11" t="s">
        <v>56</v>
      </c>
      <c r="O1" s="110" t="str">
        <f>B1</f>
        <v>PB280360100BKAS</v>
      </c>
      <c r="P1" s="110"/>
      <c r="Q1" s="111"/>
      <c r="R1" s="11" t="s">
        <v>57</v>
      </c>
      <c r="S1" s="110" t="str">
        <f>F1</f>
        <v>FERNLAND</v>
      </c>
      <c r="T1" s="110"/>
      <c r="U1" s="111"/>
      <c r="V1" s="11" t="s">
        <v>181</v>
      </c>
      <c r="W1" s="112">
        <f ca="1">J1</f>
        <v>45974</v>
      </c>
      <c r="X1" s="112"/>
      <c r="Y1" s="113"/>
    </row>
    <row r="2" spans="1:25" ht="20.149999999999999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942360</v>
      </c>
      <c r="G2" s="62"/>
      <c r="H2" s="63"/>
      <c r="I2" s="11" t="s">
        <v>59</v>
      </c>
      <c r="J2" s="115" t="s">
        <v>192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942360</v>
      </c>
      <c r="T2" s="110"/>
      <c r="U2" s="111"/>
      <c r="V2" s="11" t="s">
        <v>59</v>
      </c>
      <c r="W2" s="114" t="str">
        <f>J2</f>
        <v>ASAP</v>
      </c>
      <c r="X2" s="110"/>
      <c r="Y2" s="111"/>
    </row>
    <row r="3" spans="1:25" ht="20.149999999999999" customHeight="1" x14ac:dyDescent="0.75">
      <c r="A3" s="134" t="s">
        <v>199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6"/>
      <c r="M3" s="29"/>
      <c r="N3" s="134" t="str">
        <f>A3</f>
        <v>******NEW ITEM *****                                                                                                       PLANTER SLEEVE - NO SEAL - NO HEAT - NO DRAINAGE HOLES - NO GUSSET</v>
      </c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6"/>
    </row>
    <row r="4" spans="1:25" ht="20.149999999999999" customHeight="1" x14ac:dyDescent="0.7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9"/>
      <c r="M4" s="29"/>
      <c r="N4" s="137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9"/>
    </row>
    <row r="5" spans="1:25" ht="20.149999999999999" customHeight="1" x14ac:dyDescent="0.75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29"/>
      <c r="N5" s="140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2"/>
    </row>
    <row r="6" spans="1:25" ht="20.149999999999999" customHeight="1" x14ac:dyDescent="0.75">
      <c r="A6" s="116" t="s">
        <v>2</v>
      </c>
      <c r="B6" s="117"/>
      <c r="C6" s="117"/>
      <c r="D6" s="117"/>
      <c r="E6" s="117"/>
      <c r="F6" s="117"/>
      <c r="G6" s="117"/>
      <c r="H6" s="117"/>
      <c r="I6" s="11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10">
        <f>R7*O7</f>
        <v>5000</v>
      </c>
      <c r="V7" s="111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280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100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118" t="s">
        <v>194</v>
      </c>
      <c r="C9" s="119"/>
      <c r="D9" s="126" t="str">
        <f>IF(K10="Middle","RUN 2 UP",IF(AND(O8="Centrefold Roll",B8=380),"RUN 2 UP",""))</f>
        <v/>
      </c>
      <c r="E9" s="102"/>
      <c r="F9" s="103"/>
      <c r="G9" s="16" t="s">
        <v>48</v>
      </c>
      <c r="H9" s="118" t="s">
        <v>197</v>
      </c>
      <c r="I9" s="119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280</v>
      </c>
      <c r="S9" s="18" t="s">
        <v>78</v>
      </c>
      <c r="T9" s="30">
        <v>360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4</v>
      </c>
      <c r="C10" s="63"/>
      <c r="D10" s="47" t="s">
        <v>134</v>
      </c>
      <c r="E10" s="120">
        <f>IF(ISNUMBER(SEARCH("sheet",O8,1)),((R9*T9*H8/540000)*U7/2000*1.3),((R9*T9*H8/540000)*U7/1000*1.08))</f>
        <v>100.80000000000001</v>
      </c>
      <c r="F10" s="121"/>
      <c r="G10" s="11" t="s">
        <v>53</v>
      </c>
      <c r="H10" s="124">
        <f>IF(ISNUMBER(SEARCH("sheet",O8,1)),(U7*T9/2000*1.08),(U7*T9/1000*1.08))</f>
        <v>1944.0000000000002</v>
      </c>
      <c r="I10" s="125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22">
        <f>E10/B10</f>
        <v>25.200000000000003</v>
      </c>
      <c r="F11" s="123"/>
      <c r="G11" s="11" t="s">
        <v>15</v>
      </c>
      <c r="H11" s="122">
        <f>H10/B10</f>
        <v>486.00000000000006</v>
      </c>
      <c r="I11" s="123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0" t="s">
        <v>4</v>
      </c>
      <c r="F16" s="130"/>
      <c r="G16" s="130" t="s">
        <v>5</v>
      </c>
      <c r="H16" s="130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169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91"/>
      <c r="F17" s="65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91"/>
      <c r="F18" s="65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91"/>
      <c r="F19" s="65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91"/>
      <c r="F20" s="65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91"/>
      <c r="F21" s="65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BLACK</v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91"/>
      <c r="F22" s="65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1" t="s">
        <v>195</v>
      </c>
      <c r="B23" s="131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5"/>
      <c r="E23" s="90"/>
      <c r="F23" s="65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2"/>
      <c r="B24" s="133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27" t="s">
        <v>136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9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46004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45995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B9AF1D3-9558-4C85-A0F6-878C1D95E202}"/>
</file>

<file path=customXml/itemProps2.xml><?xml version="1.0" encoding="utf-8"?>
<ds:datastoreItem xmlns:ds="http://schemas.openxmlformats.org/officeDocument/2006/customXml" ds:itemID="{C0E2332F-8CD6-46DC-8CA9-0C328CB18FA5}"/>
</file>

<file path=customXml/itemProps3.xml><?xml version="1.0" encoding="utf-8"?>
<ds:datastoreItem xmlns:ds="http://schemas.openxmlformats.org/officeDocument/2006/customXml" ds:itemID="{919C5473-7B72-45EF-AC78-883A70795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2025-11-13T02:43:08Z</cp:lastPrinted>
  <dcterms:created xsi:type="dcterms:W3CDTF">2019-11-27T23:28:06Z</dcterms:created>
  <dcterms:modified xsi:type="dcterms:W3CDTF">2025-11-13T02:49:57Z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