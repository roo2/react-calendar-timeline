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5638F44-FE8B-4FF1-9BB6-D25AB25E64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13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<sst xmlns="http://schemas.openxmlformats.org/spreadsheetml/2006/main" count="304" uniqueCount="201">
  <si>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</si>
  <si>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</si>
  <si>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</si>
  <si>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</si>
  <si>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</si>
  <si>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</si>
  <si>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</si>
  <si>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</si>
  <si>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</si>
  <si>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</si>
  <si>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</si>
  <si>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</si>
  <si>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</si>
  <si>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</si>
  <si>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</si>
  <si>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</si>
  <si>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</si>
  <si>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</si>
  <si>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</si>
  <si>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</si>
  <si>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</si>
  <si>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</si>
  <si>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</si>
  <si>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</si>
  <si>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</si>
  <si>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</si>
  <si>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</si>
  <si>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</si>
  <si>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</si>
  <si>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</si>
  <si>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</si>
  <si>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</si>
  <si>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</si>
  <si>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</si>
  <si>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</si>
  <si>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</si>
  <si>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</si>
  <si>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</si>
  <si>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</si>
  <si>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</si>
  <si>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</si>
  <si>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</si>
  <si>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</si>
  <si>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</si>
  <si>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</si>
  <si>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</si>
  <si>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</si>
  <si>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</si>
  <si>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</si>
  <si>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</si>
  <si>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</si>
  <si>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</si>
  <si>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</si>
  <si>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</si>
  <si>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</si>
  <si>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</si>
  <si>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</si>
  <si>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</si>
  <si>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</si>
  <si>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</si>
  <si>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</si>
  <si>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</si>
  <si>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</si>
  <si>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</si>
  <si>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</si>
  <si>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</si>
  <si>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</si>
  <si>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</si>
  <si>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</si>
  <si>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</si>
  <si>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</si>
  <si>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</si>
  <si>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</si>
  <si>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</si>
  <si>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</si>
  <si>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</si>
  <si>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</si>
  <si>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</si>
  <si>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</si>
  <si>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</si>
  <si>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</si>
  <si>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</si>
  <si>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</si>
  <si>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</si>
  <si>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</si>
  <si>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</si>
  <si>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</si>
  <si>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</si>
  <si>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</si>
  <si>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</si>
  <si>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</si>
  <si>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</si>
  <si>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</si>
  <si>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</si>
  <si>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</si>
  <si>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</si>
  <si>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</si>
  <si>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</si>
  <si>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</si>
  <si>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</si>
  <si>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</si>
  <si>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</si>
  <si>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</si>
  <si>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</si>
  <si>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</si>
  <si>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</si>
  <si>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</si>
  <si>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</si>
  <si>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</si>
  <si>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</si>
  <si>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</si>
  <si>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</si>
  <si>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</si>
  <si>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</si>
  <si>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</si>
  <si>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</si>
  <si>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</si>
  <si>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</si>
  <si>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</si>
  <si>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</si>
  <si>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</si>
  <si>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</si>
  <si>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</si>
  <si>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</si>
  <si>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</si>
  <si>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</si>
  <si>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</si>
  <si>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</si>
  <si>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</si>
  <si>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</si>
  <si>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</si>
  <si>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</si>
  <si>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</si>
  <si>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</si>
  <si>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</si>
  <si>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</si>
  <si>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</si>
  <si>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</si>
  <si>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</si>
  <si>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</si>
  <si>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</si>
  <si>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</si>
  <si>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</si>
  <si>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</si>
  <si>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</si>
  <si>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</si>
  <si>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</si>
  <si>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</si>
  <si>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</si>
  <si>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</si>
  <si>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</si>
  <si>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</si>
  <si>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</si>
  <si>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</si>
  <si>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</si>
  <si>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</si>
  <si>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</si>
  <si>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</si>
  <si>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</si>
  <si>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</si>
  <si>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</si>
  <si>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</si>
  <si>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</si>
  <si>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</si>
  <si>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</si>
  <si>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</si>
  <si>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</si>
  <si>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</si>
  <si>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</si>
  <si>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</si>
  <si>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</si>
  <si>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</si>
  <si>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</si>
  <si>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</si>
  <si>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</si>
  <si>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</si>
  <si>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</si>
  <si>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</si>
  <si>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</si>
  <si>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</si>
  <si>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</si>
  <si>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</si>
  <si>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>PERF INLINE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</si>
  <si>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</si>
  <si>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</si>
  <si>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</si>
  <si>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</si>
  <si>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</si>
  <si>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</si>
  <si>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</si>
  <si>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</si>
  <si>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</si>
  <si>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</si>
  <si>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</si>
  <si>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</si>
  <si>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CL24002</t>
  </si>
  <si>
    <t>(750+430)</t>
  </si>
  <si>
    <t>NOT OVER</t>
  </si>
  <si>
    <t xml:space="preserve"> +/- 10mm</t>
  </si>
  <si>
    <t>GREENSLOPES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</si>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</sst>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23" sqref="A23:B23"/>
    </sheetView>
  </sheetViews>
  <sheetFormatPr defaultRowHeight="15" x14ac:dyDescent="0.25"/>
  <sheetData>
    <row r="1" spans="1:25" ht="20.100000000000001" customHeight="1" x14ac:dyDescent="0.25">
      <c r="A1" s="16" t="s">
        <v>55</v>
      </c>
      <c r="B1" s="113" t="str">
        <f>O9&amp;R9&amp;IF(X8="G","G","")&amp;IF(O8="Centrefold Roll","("&amp;E8&amp;")","")&amp;T9&amp;V9&amp;C22&amp;C23&amp;C24&amp;O11&amp;R11</f>
        <v>PBR1180G1500300</v>
      </c>
      <c r="C1" s="113"/>
      <c r="D1" s="114"/>
      <c r="E1" s="16" t="s">
        <v>56</v>
      </c>
      <c r="F1" s="94" t="s">
        <v>199</v>
      </c>
      <c r="G1" s="94"/>
      <c r="H1" s="95"/>
      <c r="I1" s="16" t="s">
        <v>180</v>
      </c>
      <c r="J1" s="130">
        <f ca="1">TODAY()</f>
        <v>45842</v>
      </c>
      <c r="K1" s="130"/>
      <c r="L1" s="131"/>
      <c r="M1" s="30"/>
      <c r="N1" s="16" t="s">
        <v>55</v>
      </c>
      <c r="O1" s="113" t="str">
        <f>B1</f>
        <v>PBR1180G1500300</v>
      </c>
      <c r="P1" s="113"/>
      <c r="Q1" s="114"/>
      <c r="R1" s="16" t="s">
        <v>56</v>
      </c>
      <c r="S1" s="113" t="str">
        <f>F1</f>
        <v>GREENSLOPES</v>
      </c>
      <c r="T1" s="113"/>
      <c r="U1" s="114"/>
      <c r="V1" s="16" t="s">
        <v>180</v>
      </c>
      <c r="W1" s="130">
        <f ca="1">J1</f>
        <v>45842</v>
      </c>
      <c r="X1" s="130"/>
      <c r="Y1" s="131"/>
    </row>
    <row r="2" spans="1:25" ht="20.100000000000001" customHeight="1" x14ac:dyDescent="0.25">
      <c r="A2" s="16" t="s">
        <v>99</v>
      </c>
      <c r="B2" s="113" t="str">
        <f>IF(U10="","",U10)</f>
        <v>CL24002</v>
      </c>
      <c r="C2" s="113"/>
      <c r="D2" s="114"/>
      <c r="E2" s="16" t="s">
        <v>57</v>
      </c>
      <c r="F2" s="94">
        <v>58317</v>
      </c>
      <c r="G2" s="94"/>
      <c r="H2" s="95"/>
      <c r="I2" s="16" t="s">
        <v>58</v>
      </c>
      <c r="J2" s="93" t="s">
        <v>193</v>
      </c>
      <c r="K2" s="94"/>
      <c r="L2" s="95"/>
      <c r="M2" s="30"/>
      <c r="N2" s="16" t="s">
        <v>99</v>
      </c>
      <c r="O2" s="113" t="str">
        <f>IF(B2="","",B2)</f>
        <v>CL24002</v>
      </c>
      <c r="P2" s="113"/>
      <c r="Q2" s="114"/>
      <c r="R2" s="16" t="s">
        <v>57</v>
      </c>
      <c r="S2" s="113">
        <f>IF(F2="","",F2)</f>
        <v>58317</v>
      </c>
      <c r="T2" s="113"/>
      <c r="U2" s="114"/>
      <c r="V2" s="16" t="s">
        <v>58</v>
      </c>
      <c r="W2" s="132" t="str">
        <f>J2</f>
        <v>ASAP</v>
      </c>
      <c r="X2" s="113"/>
      <c r="Y2" s="114"/>
    </row>
    <row r="3" spans="1:25" ht="20.100000000000001" customHeight="1" x14ac:dyDescent="0.25">
      <c r="A3" s="125" t="s">
        <v>182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  <c r="M3" s="30"/>
      <c r="N3" s="125" t="str">
        <f>A3</f>
        <v>PERF INLINE</v>
      </c>
      <c r="O3" s="96"/>
      <c r="P3" s="96"/>
      <c r="Q3" s="96"/>
      <c r="R3" s="96"/>
      <c r="S3" s="96"/>
      <c r="T3" s="96"/>
      <c r="U3" s="96"/>
      <c r="V3" s="96"/>
      <c r="W3" s="96"/>
      <c r="X3" s="96"/>
      <c r="Y3" s="97"/>
    </row>
    <row r="4" spans="1:25" ht="20.100000000000001" customHeight="1" x14ac:dyDescent="0.25">
      <c r="A4" s="126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8"/>
      <c r="M4" s="30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8"/>
    </row>
    <row r="5" spans="1:25" ht="20.100000000000001" customHeight="1" x14ac:dyDescent="0.25">
      <c r="A5" s="129"/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  <c r="M5" s="30"/>
      <c r="N5" s="129"/>
      <c r="O5" s="98"/>
      <c r="P5" s="98"/>
      <c r="Q5" s="98"/>
      <c r="R5" s="98"/>
      <c r="S5" s="98"/>
      <c r="T5" s="98"/>
      <c r="U5" s="98"/>
      <c r="V5" s="98"/>
      <c r="W5" s="98"/>
      <c r="X5" s="98"/>
      <c r="Y5" s="99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6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100</v>
      </c>
      <c r="P7" s="95"/>
      <c r="Q7" s="16" t="str">
        <f>IF(ISNUMBER(SEARCH("roll",O8,1)),"Per Roll","Per Carton")</f>
        <v>Per Roll</v>
      </c>
      <c r="R7" s="94">
        <v>100</v>
      </c>
      <c r="S7" s="95"/>
      <c r="T7" s="16" t="str">
        <f>IF(ISNUMBER(SEARCH("bag",O8,1)),"Total Bags","Total Sheets")</f>
        <v>Total Bags</v>
      </c>
      <c r="U7" s="113">
        <f>R7*O7</f>
        <v>10000</v>
      </c>
      <c r="V7" s="114"/>
      <c r="W7" s="16" t="s">
        <v>101</v>
      </c>
      <c r="X7" s="94" t="s">
        <v>30</v>
      </c>
      <c r="Y7" s="95"/>
    </row>
    <row r="8" spans="1:25" ht="20.100000000000001" customHeight="1" x14ac:dyDescent="0.25">
      <c r="A8" s="17" t="s">
        <v>15</v>
      </c>
      <c r="B8" s="103">
        <f>R9</f>
        <v>1180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(750+430)</v>
      </c>
      <c r="F8" s="106"/>
      <c r="G8" s="17" t="s">
        <v>51</v>
      </c>
      <c r="H8" s="103">
        <f>(IF(V9&lt;30,"30",V9))</f>
        <v>30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Gusset Tube</v>
      </c>
      <c r="L8" s="114"/>
      <c r="M8" s="30"/>
      <c r="N8" s="18" t="s">
        <v>53</v>
      </c>
      <c r="O8" s="104" t="s">
        <v>164</v>
      </c>
      <c r="P8" s="105"/>
      <c r="Q8" s="18" t="s">
        <v>190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G</v>
      </c>
      <c r="Y8" s="133"/>
    </row>
    <row r="9" spans="1:25" ht="20.100000000000001" customHeight="1" x14ac:dyDescent="0.3">
      <c r="A9" s="21" t="s">
        <v>47</v>
      </c>
      <c r="B9" s="111" t="s">
        <v>198</v>
      </c>
      <c r="C9" s="112"/>
      <c r="D9" s="137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197</v>
      </c>
      <c r="I9" s="112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1180</v>
      </c>
      <c r="S9" s="23" t="s">
        <v>77</v>
      </c>
      <c r="T9" s="31">
        <v>1500</v>
      </c>
      <c r="U9" s="23" t="s">
        <v>77</v>
      </c>
      <c r="V9" s="31">
        <v>30</v>
      </c>
      <c r="W9" s="22"/>
      <c r="X9" s="100" t="s">
        <v>196</v>
      </c>
      <c r="Y9" s="101"/>
    </row>
    <row r="10" spans="1:25" ht="20.100000000000001" customHeight="1" x14ac:dyDescent="0.25">
      <c r="A10" s="16" t="s">
        <v>50</v>
      </c>
      <c r="B10" s="94">
        <v>100</v>
      </c>
      <c r="C10" s="95"/>
      <c r="D10" s="49" t="s">
        <v>133</v>
      </c>
      <c r="E10" s="115">
        <f>IF(ISNUMBER(SEARCH("sheet",O8,1)),((R9*T9*H8/540000)*U7/2000*1.3),((R9*T9*H8/540000)*U7/1000*1.08))</f>
        <v>1062</v>
      </c>
      <c r="F10" s="116"/>
      <c r="G10" s="16" t="s">
        <v>52</v>
      </c>
      <c r="H10" s="119">
        <f>IF(ISNUMBER(SEARCH("sheet",O8,1)),(U7*T9/2000*1.08),(U7*T9/1000*1.08))</f>
        <v>16200.000000000002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 t="s">
        <v>195</v>
      </c>
      <c r="V10" s="96"/>
      <c r="W10" s="96"/>
      <c r="X10" s="96"/>
      <c r="Y10" s="97"/>
    </row>
    <row r="11" spans="1:25" ht="20.100000000000001" customHeight="1" x14ac:dyDescent="0.25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10.62</v>
      </c>
      <c r="F11" s="118"/>
      <c r="G11" s="16" t="s">
        <v>14</v>
      </c>
      <c r="H11" s="117">
        <f>H10/B10</f>
        <v>162.00000000000003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00000000000001" customHeight="1" x14ac:dyDescent="0.2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4" t="s">
        <v>70</v>
      </c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6"/>
    </row>
    <row r="13" spans="1:25" ht="20.100000000000001" customHeight="1" x14ac:dyDescent="0.25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100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 t="str">
        <f>IF(AND((O17="LOOSE"),(NOT(O18="BUNDLE"))),"",IF(AND((O17="LINED"),(NOT(O18="BUNDLE"))),"",(IF(R7&lt;=500,"50",IF(R7&gt;500,"100")))))</f>
        <v>50</v>
      </c>
      <c r="X13" s="16" t="s">
        <v>75</v>
      </c>
      <c r="Y13" s="33"/>
    </row>
    <row r="14" spans="1:25" ht="20.100000000000001" customHeight="1" x14ac:dyDescent="0.3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40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00000000000001" customHeight="1" x14ac:dyDescent="0.25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30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38"/>
      <c r="Y16" s="139"/>
    </row>
    <row r="17" spans="1:25" ht="20.100000000000001" customHeight="1" x14ac:dyDescent="0.25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22</v>
      </c>
      <c r="V17" s="95"/>
      <c r="W17" s="16" t="str">
        <f>IF(ISNUMBER(SEARCH("roll",O8,1)),"Total Rolls","Total Ctns")</f>
        <v>Total Rolls</v>
      </c>
      <c r="X17" s="138"/>
      <c r="Y17" s="139"/>
    </row>
    <row r="18" spans="1:25" ht="20.100000000000001" customHeight="1" x14ac:dyDescent="0.25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22</v>
      </c>
      <c r="S18" s="95"/>
      <c r="T18" s="1" t="s">
        <v>26</v>
      </c>
      <c r="U18" s="94" t="s">
        <v>35</v>
      </c>
      <c r="V18" s="95"/>
      <c r="W18" s="16" t="s">
        <v>108</v>
      </c>
      <c r="X18" s="138"/>
      <c r="Y18" s="139"/>
    </row>
    <row r="19" spans="1:25" ht="20.100000000000001" customHeight="1" x14ac:dyDescent="0.2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00000000000001" customHeight="1" x14ac:dyDescent="0.2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00000000000001" customHeight="1" x14ac:dyDescent="0.2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00000000000001" customHeight="1" x14ac:dyDescent="0.2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00000000000001" customHeight="1" x14ac:dyDescent="0.25">
      <c r="A23" s="82" t="s">
        <v>200</v>
      </c>
      <c r="B23" s="82"/>
      <c r="C23" s="80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40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2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1" t="s">
        <v>131</v>
      </c>
      <c r="H26" s="141"/>
      <c r="I26" s="141" t="s">
        <v>130</v>
      </c>
      <c r="J26" s="141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00000000000001" customHeight="1" x14ac:dyDescent="0.2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183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191</v>
      </c>
      <c r="X27" s="11" t="s">
        <v>192</v>
      </c>
      <c r="Y27" s="11" t="s">
        <v>21</v>
      </c>
    </row>
    <row r="28" spans="1:25" ht="20.100000000000001" customHeight="1" x14ac:dyDescent="0.2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2"/>
    </row>
    <row r="44" spans="1:25" ht="20.100000000000001" customHeight="1" x14ac:dyDescent="0.2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183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191</v>
      </c>
      <c r="X44" s="11" t="s">
        <v>192</v>
      </c>
      <c r="Y44" s="11" t="s">
        <v>21</v>
      </c>
    </row>
    <row r="45" spans="1:25" ht="20.100000000000001" customHeight="1" x14ac:dyDescent="0.2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4" fitToHeight="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0">
        <f ca="1">DATE(YEAR(Sheet1!J1),MONTH(Sheet1!J1)+1,DAY(Sheet1!J1))</f>
        <v>45873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0">
        <f ca="1">DATE(YEAR(Sheet1!J1),MONTH(Sheet1!J1),DAY(Sheet1!J1)+21)</f>
        <v>45863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194</v>
      </c>
      <c r="T19" s="1"/>
      <c r="V19" s="1"/>
    </row>
    <row r="20" spans="1:23" x14ac:dyDescent="0.2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2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2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2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2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9" t="s">
        <v>184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2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2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2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2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2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2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2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2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2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2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2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2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2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2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2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2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2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2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2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2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185</v>
      </c>
    </row>
    <row r="50" spans="1:20" x14ac:dyDescent="0.2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186</v>
      </c>
    </row>
    <row r="51" spans="1:20" x14ac:dyDescent="0.2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2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2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2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2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2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2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2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25">
      <c r="A59" s="59" t="s">
        <v>147</v>
      </c>
    </row>
    <row r="60" spans="1:20" x14ac:dyDescent="0.25">
      <c r="A60" s="59" t="s">
        <v>148</v>
      </c>
      <c r="O60" s="1"/>
      <c r="Q60" s="1"/>
      <c r="R60" s="3"/>
      <c r="S60" s="1"/>
    </row>
    <row r="61" spans="1:20" x14ac:dyDescent="0.25">
      <c r="A61" s="59" t="s">
        <v>149</v>
      </c>
      <c r="O61" s="1"/>
      <c r="Q61" s="1"/>
      <c r="R61" s="1"/>
      <c r="S61" s="1"/>
    </row>
    <row r="62" spans="1:20" x14ac:dyDescent="0.25">
      <c r="A62" s="59" t="s">
        <v>150</v>
      </c>
      <c r="O62" s="1"/>
      <c r="Q62" s="1"/>
      <c r="R62" s="1"/>
      <c r="S62" s="1"/>
    </row>
    <row r="63" spans="1:20" x14ac:dyDescent="0.25">
      <c r="A63" s="59" t="s">
        <v>151</v>
      </c>
      <c r="O63" s="1"/>
      <c r="Q63" s="1"/>
      <c r="R63" s="1"/>
      <c r="S63" s="1"/>
      <c r="T63" s="1"/>
    </row>
    <row r="64" spans="1:20" x14ac:dyDescent="0.25">
      <c r="A64" s="59" t="s">
        <v>152</v>
      </c>
      <c r="O64" s="1"/>
      <c r="Q64" s="1"/>
      <c r="R64" s="1"/>
      <c r="S64" s="1"/>
      <c r="T64" s="1"/>
    </row>
    <row r="65" spans="1:20" x14ac:dyDescent="0.2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56BE6D3-08EA-424F-B37E-E97B5C4417B8}"/>
</file>

<file path=customXml/itemProps2.xml><?xml version="1.0" encoding="utf-8"?>
<ds:datastoreItem xmlns:ds="http://schemas.openxmlformats.org/officeDocument/2006/customXml" ds:itemID="{A42030B9-BAAE-47C1-BB4E-C1230D536D17}"/>
</file>

<file path=customXml/itemProps3.xml><?xml version="1.0" encoding="utf-8"?>
<ds:datastoreItem xmlns:ds="http://schemas.openxmlformats.org/officeDocument/2006/customXml" ds:itemID="{A4669295-EA0C-4305-9FD4-32361A68E0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2025-06-01T23:35:31Z</cp:lastPrinted>
  <dcterms:created xsi:type="dcterms:W3CDTF">2019-11-27T23:28:06Z</dcterms:created>
  <dcterms:modified xsi:type="dcterms:W3CDTF">2025-07-04T03:24:04Z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