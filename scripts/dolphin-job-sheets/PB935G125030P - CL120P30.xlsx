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D2D03EE-D1E6-4B87-8E5B-A2B56C478D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<sst xmlns="http://schemas.openxmlformats.org/spreadsheetml/2006/main" count="307" uniqueCount="203">
  <si>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</si>
  <si>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</si>
  <si>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</si>
  <si>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</si>
  <si>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</si>
  <si>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</si>
  <si>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</si>
  <si>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</si>
  <si>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</si>
  <si>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</si>
  <si>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</si>
  <si>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</si>
  <si>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</si>
  <si>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</si>
  <si>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</si>
  <si>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</si>
  <si>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</si>
  <si>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</si>
  <si>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</si>
  <si>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</si>
  <si>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</si>
  <si>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</si>
  <si>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</si>
  <si>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</si>
  <si>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</si>
  <si>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</si>
  <si>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</si>
  <si>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</si>
  <si>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</si>
  <si>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</si>
  <si>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</si>
  <si>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</si>
  <si>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</si>
  <si>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</si>
  <si>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</si>
  <si>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</si>
  <si>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</si>
  <si>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</si>
  <si>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</si>
  <si>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</si>
  <si>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</si>
  <si>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</si>
  <si>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</si>
  <si>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</si>
  <si>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</si>
  <si>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</si>
  <si>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</si>
  <si>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</si>
  <si>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</si>
  <si>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</si>
  <si>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</si>
  <si>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</si>
  <si>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</si>
  <si>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</si>
  <si>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</si>
  <si>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</si>
  <si>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</si>
  <si>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</si>
  <si>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</si>
  <si>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</si>
  <si>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</si>
  <si>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</si>
  <si>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</si>
  <si>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</si>
  <si>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</si>
  <si>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</si>
  <si>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</si>
  <si>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</si>
  <si>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</si>
  <si>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</si>
  <si>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</si>
  <si>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</si>
  <si>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</si>
  <si>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</si>
  <si>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</si>
  <si>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</si>
  <si>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</si>
  <si>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</si>
  <si>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</si>
  <si>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</si>
  <si>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</si>
  <si>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</si>
  <si>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</si>
  <si>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</si>
  <si>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</si>
  <si>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</si>
  <si>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</si>
  <si>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</si>
  <si>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</si>
  <si>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</si>
  <si>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</si>
  <si>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</si>
  <si>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</si>
  <si>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</si>
  <si>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</si>
  <si>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</si>
  <si>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</si>
  <si>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</si>
  <si>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</si>
  <si>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</si>
  <si>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</si>
  <si>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</si>
  <si>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</si>
  <si>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</si>
  <si>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</si>
  <si>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</si>
  <si>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</si>
  <si>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</si>
  <si>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</si>
  <si>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</si>
  <si>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</si>
  <si>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</si>
  <si>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</si>
  <si>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</si>
  <si>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</si>
  <si>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</si>
  <si>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</si>
  <si>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</si>
  <si>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</si>
  <si>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</si>
  <si>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</si>
  <si>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</si>
  <si>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</si>
  <si>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</si>
  <si>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</si>
  <si>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</si>
  <si>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</si>
  <si>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</si>
  <si>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</si>
  <si>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</si>
  <si>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</si>
  <si>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</si>
  <si>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</si>
  <si>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</si>
  <si>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</si>
  <si>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</si>
  <si>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</si>
  <si>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</si>
  <si>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</si>
  <si>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</si>
  <si>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</si>
  <si>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</si>
  <si>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</si>
  <si>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</si>
  <si>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</si>
  <si>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</si>
  <si>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</si>
  <si>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</si>
  <si>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</si>
  <si>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</si>
  <si>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</si>
  <si>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</si>
  <si>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</si>
  <si>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</si>
  <si>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</si>
  <si>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</si>
  <si>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</si>
  <si>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</si>
  <si>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</si>
  <si>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</si>
  <si>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</si>
  <si>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</si>
  <si>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</si>
  <si>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</si>
  <si>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</si>
  <si>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</si>
  <si>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</si>
  <si>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</si>
  <si>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</si>
  <si>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</si>
  <si>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</si>
  <si>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</si>
  <si>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</si>
  <si>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</si>
  <si>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</si>
  <si>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</si>
  <si>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</si>
  <si>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</si>
  <si>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</si>
  <si>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</si>
  <si>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</si>
  <si>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</si>
  <si>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</si>
  <si>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</si>
  <si>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</si>
  <si>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</si>
  <si>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</si>
  <si>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</si>
  <si>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</si>
  <si>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</si>
  <si>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</si>
  <si>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</si>
  <si>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</si>
  <si>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"GENERAL WASTE"</t>
  </si>
  <si>
    <t xml:space="preserve"> +/- 10mm</t>
  </si>
  <si>
    <t>(470+465)</t>
  </si>
  <si>
    <t>QLD HEALTH</t>
  </si>
  <si>
    <t xml:space="preserve">LIMAX </t>
  </si>
  <si>
    <t>CLEAR REMILL</t>
  </si>
  <si>
    <t>CL120P30</t>
  </si>
  <si>
    <t>NOT UNDER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</si>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</sst>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2" t="str">
        <f>O9&amp;R9&amp;IF(X8="G","G","")&amp;IF(O8="Centrefold Roll","("&amp;E8&amp;")","")&amp;T9&amp;V9&amp;C22&amp;C23&amp;C24&amp;O11&amp;R11</f>
        <v>PB935G1250300ASP</v>
      </c>
      <c r="C1" s="112"/>
      <c r="D1" s="113"/>
      <c r="E1" s="11" t="s">
        <v>57</v>
      </c>
      <c r="F1" s="88" t="s">
        <v>196</v>
      </c>
      <c r="G1" s="88"/>
      <c r="H1" s="89"/>
      <c r="I1" s="12" t="s">
        <v>180</v>
      </c>
      <c r="J1" s="85">
        <f ca="1">TODAY()</f>
        <v>45835</v>
      </c>
      <c r="K1" s="85"/>
      <c r="L1" s="86"/>
      <c r="M1" s="29"/>
      <c r="N1" s="11" t="s">
        <v>56</v>
      </c>
      <c r="O1" s="112" t="str">
        <f>B1</f>
        <v>PB935G1250300ASP</v>
      </c>
      <c r="P1" s="112"/>
      <c r="Q1" s="113"/>
      <c r="R1" s="11" t="s">
        <v>57</v>
      </c>
      <c r="S1" s="112" t="str">
        <f>F1</f>
        <v>QLD HEALTH</v>
      </c>
      <c r="T1" s="112"/>
      <c r="U1" s="113"/>
      <c r="V1" s="11" t="s">
        <v>180</v>
      </c>
      <c r="W1" s="85">
        <f ca="1">J1</f>
        <v>45835</v>
      </c>
      <c r="X1" s="85"/>
      <c r="Y1" s="86"/>
    </row>
    <row r="2" spans="1:25" ht="20.100000000000001" customHeight="1" x14ac:dyDescent="0.25">
      <c r="A2" s="11" t="s">
        <v>100</v>
      </c>
      <c r="B2" s="112" t="str">
        <f>IF(U10="","",U10)</f>
        <v>CL120P30</v>
      </c>
      <c r="C2" s="112"/>
      <c r="D2" s="113"/>
      <c r="E2" s="11" t="s">
        <v>58</v>
      </c>
      <c r="F2" s="88">
        <v>57758</v>
      </c>
      <c r="G2" s="88"/>
      <c r="H2" s="89"/>
      <c r="I2" s="11" t="s">
        <v>59</v>
      </c>
      <c r="J2" s="87">
        <v>45443</v>
      </c>
      <c r="K2" s="88"/>
      <c r="L2" s="89"/>
      <c r="M2" s="29"/>
      <c r="N2" s="11" t="s">
        <v>100</v>
      </c>
      <c r="O2" s="112" t="str">
        <f>IF(B2="","",B2)</f>
        <v>CL120P30</v>
      </c>
      <c r="P2" s="112"/>
      <c r="Q2" s="113"/>
      <c r="R2" s="11" t="s">
        <v>58</v>
      </c>
      <c r="S2" s="112">
        <f>IF(F2="","",F2)</f>
        <v>57758</v>
      </c>
      <c r="T2" s="112"/>
      <c r="U2" s="113"/>
      <c r="V2" s="11" t="s">
        <v>59</v>
      </c>
      <c r="W2" s="124">
        <f>J2</f>
        <v>45443</v>
      </c>
      <c r="X2" s="112"/>
      <c r="Y2" s="113"/>
    </row>
    <row r="3" spans="1:25" ht="20.100000000000001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23">
        <f>A3</f>
        <v>0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00000000000001" customHeight="1" x14ac:dyDescent="0.2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29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00000000000001" customHeight="1" x14ac:dyDescent="0.3">
      <c r="A7" s="11" t="s">
        <v>49</v>
      </c>
      <c r="B7" s="109" t="s">
        <v>162</v>
      </c>
      <c r="C7" s="109"/>
      <c r="D7" s="109"/>
      <c r="E7" s="109"/>
      <c r="F7" s="109"/>
      <c r="G7" s="109"/>
      <c r="H7" s="109"/>
      <c r="I7" s="110"/>
      <c r="J7" s="75" t="s">
        <v>178</v>
      </c>
      <c r="K7" s="75"/>
      <c r="L7" s="73"/>
      <c r="M7" s="29"/>
      <c r="N7" s="11" t="str">
        <f>IF(ISNUMBER(SEARCH("roll",O8,1)),"No. Rolls","No. Cartons")</f>
        <v>No. Cartons</v>
      </c>
      <c r="O7" s="88">
        <v>60</v>
      </c>
      <c r="P7" s="89"/>
      <c r="Q7" s="11" t="str">
        <f>IF(ISNUMBER(SEARCH("roll",O8,1)),"Per Roll","Per Carton")</f>
        <v>Per Carton</v>
      </c>
      <c r="R7" s="88">
        <v>100</v>
      </c>
      <c r="S7" s="89"/>
      <c r="T7" s="11" t="str">
        <f>IF(ISNUMBER(SEARCH("bag",O8,1)),"Total Bags","Total Sheets")</f>
        <v>Total Bags</v>
      </c>
      <c r="U7" s="112">
        <f>R7*O7</f>
        <v>6000</v>
      </c>
      <c r="V7" s="113"/>
      <c r="W7" s="11" t="s">
        <v>102</v>
      </c>
      <c r="X7" s="88" t="s">
        <v>31</v>
      </c>
      <c r="Y7" s="89"/>
    </row>
    <row r="8" spans="1:25" ht="20.100000000000001" customHeight="1" x14ac:dyDescent="0.25">
      <c r="A8" s="13" t="s">
        <v>16</v>
      </c>
      <c r="B8" s="90">
        <f>R9</f>
        <v>935</v>
      </c>
      <c r="C8" s="91"/>
      <c r="D8" s="27" t="str">
        <f>IF(ISNUMBER(SEARCH("bag",O8,1)),"Gusset","Centrefold")</f>
        <v>Gusset</v>
      </c>
      <c r="E8" s="90" t="str">
        <f>IF(O8="Centrefold Roll",B8*2,IF(X9="","None",X9))</f>
        <v>(470+465)</v>
      </c>
      <c r="F8" s="91"/>
      <c r="G8" s="13" t="s">
        <v>52</v>
      </c>
      <c r="H8" s="90">
        <v>30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29"/>
      <c r="N8" s="14" t="s">
        <v>54</v>
      </c>
      <c r="O8" s="127" t="s">
        <v>163</v>
      </c>
      <c r="P8" s="128"/>
      <c r="Q8" s="14" t="s">
        <v>188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5" t="str">
        <f>IF(AND(W8="Gusset",X9=""), "None",IF(AND(W8="Centrefold",X9=""),"None",IF(W8="Gusset","G",IF(W8="Centrefold","CF"))))</f>
        <v>G</v>
      </c>
      <c r="Y8" s="126"/>
    </row>
    <row r="9" spans="1:25" ht="20.100000000000001" customHeight="1" x14ac:dyDescent="0.3">
      <c r="A9" s="16" t="s">
        <v>48</v>
      </c>
      <c r="B9" s="100" t="s">
        <v>194</v>
      </c>
      <c r="C9" s="101"/>
      <c r="D9" s="108" t="str">
        <f>IF(K10="Middle","RUN 2 UP",IF(AND(O8="Centrefold Roll",B8=380),"RUN 2 UP",""))</f>
        <v/>
      </c>
      <c r="E9" s="109"/>
      <c r="F9" s="110"/>
      <c r="G9" s="16" t="s">
        <v>48</v>
      </c>
      <c r="H9" s="100" t="s">
        <v>200</v>
      </c>
      <c r="I9" s="101"/>
      <c r="J9" s="11" t="s">
        <v>55</v>
      </c>
      <c r="K9" s="88" t="s">
        <v>30</v>
      </c>
      <c r="L9" s="89"/>
      <c r="M9" s="29"/>
      <c r="N9" s="17"/>
      <c r="O9" s="129" t="str">
        <f>IF(O8="Poly Bag","PB",IF(O8="Poly Bag Roll","PBR",IF(O8="Centrefold Roll","CFR",IF(O8="Sheet","S",IF(O8="Sheet Roll","SR")))))</f>
        <v>PB</v>
      </c>
      <c r="P9" s="130"/>
      <c r="Q9" s="17"/>
      <c r="R9" s="30">
        <v>935</v>
      </c>
      <c r="S9" s="18" t="s">
        <v>78</v>
      </c>
      <c r="T9" s="30">
        <v>1250</v>
      </c>
      <c r="U9" s="18" t="s">
        <v>78</v>
      </c>
      <c r="V9" s="30">
        <v>30</v>
      </c>
      <c r="W9" s="17"/>
      <c r="X9" s="138" t="s">
        <v>195</v>
      </c>
      <c r="Y9" s="139"/>
    </row>
    <row r="10" spans="1:25" ht="20.100000000000001" customHeight="1" x14ac:dyDescent="0.25">
      <c r="A10" s="11" t="s">
        <v>51</v>
      </c>
      <c r="B10" s="88">
        <v>10</v>
      </c>
      <c r="C10" s="89"/>
      <c r="D10" s="47" t="s">
        <v>134</v>
      </c>
      <c r="E10" s="102">
        <f>IF(ISNUMBER(SEARCH("sheet",O8,1)),((R9*T9*H8/540000)*U7/2000*1.3),((R9*T9*H8/540000)*U7/1000*1.08))</f>
        <v>420.75</v>
      </c>
      <c r="F10" s="103"/>
      <c r="G10" s="11" t="s">
        <v>53</v>
      </c>
      <c r="H10" s="106">
        <f>IF(ISNUMBER(SEARCH("sheet",O8,1)),(U7*T9/2000*1.08),(U7*T9/1000*1.08))</f>
        <v>8100.0000000000009</v>
      </c>
      <c r="I10" s="107"/>
      <c r="J10" s="11" t="s">
        <v>41</v>
      </c>
      <c r="K10" s="88" t="s">
        <v>44</v>
      </c>
      <c r="L10" s="89"/>
      <c r="M10" s="29"/>
      <c r="N10" s="14" t="s">
        <v>141</v>
      </c>
      <c r="O10" s="127" t="s">
        <v>44</v>
      </c>
      <c r="P10" s="128"/>
      <c r="Q10" s="14" t="s">
        <v>50</v>
      </c>
      <c r="R10" s="125" t="str">
        <f>IF(K11="NONE","None",IF(K11="INLINE","Yes",IF(K11="OUT OF LINE","Yes")))</f>
        <v>Yes</v>
      </c>
      <c r="S10" s="125"/>
      <c r="T10" s="14" t="s">
        <v>100</v>
      </c>
      <c r="U10" s="132" t="s">
        <v>199</v>
      </c>
      <c r="V10" s="132"/>
      <c r="W10" s="132"/>
      <c r="X10" s="132"/>
      <c r="Y10" s="133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42.075000000000003</v>
      </c>
      <c r="F11" s="105"/>
      <c r="G11" s="11" t="s">
        <v>15</v>
      </c>
      <c r="H11" s="104">
        <f>H10/B10</f>
        <v>810.00000000000011</v>
      </c>
      <c r="I11" s="105"/>
      <c r="J11" s="11" t="s">
        <v>50</v>
      </c>
      <c r="K11" s="88" t="s">
        <v>65</v>
      </c>
      <c r="L11" s="89"/>
      <c r="M11" s="29"/>
      <c r="N11" s="13"/>
      <c r="O11" s="90" t="str">
        <f>IF(O10="NONE","","V")</f>
        <v/>
      </c>
      <c r="P11" s="91"/>
      <c r="Q11" s="13"/>
      <c r="R11" s="90" t="str">
        <f>IF(R10="None","","P")</f>
        <v>P</v>
      </c>
      <c r="S11" s="91"/>
      <c r="T11" s="13"/>
      <c r="U11" s="134"/>
      <c r="V11" s="134"/>
      <c r="W11" s="134"/>
      <c r="X11" s="134"/>
      <c r="Y11" s="135"/>
    </row>
    <row r="12" spans="1:25" ht="20.100000000000001" customHeight="1" x14ac:dyDescent="0.2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29"/>
      <c r="N12" s="131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00000000000001" customHeight="1" x14ac:dyDescent="0.25">
      <c r="A13" s="11" t="s">
        <v>68</v>
      </c>
      <c r="B13" s="88" t="s">
        <v>70</v>
      </c>
      <c r="C13" s="88"/>
      <c r="D13" s="89"/>
      <c r="E13" s="19" t="s">
        <v>61</v>
      </c>
      <c r="F13" s="88" t="s">
        <v>66</v>
      </c>
      <c r="G13" s="88"/>
      <c r="H13" s="89"/>
      <c r="I13" s="11" t="s">
        <v>62</v>
      </c>
      <c r="J13" s="88" t="s">
        <v>176</v>
      </c>
      <c r="K13" s="88"/>
      <c r="L13" s="89"/>
      <c r="M13" s="29"/>
      <c r="N13" s="11" t="s">
        <v>72</v>
      </c>
      <c r="O13" s="31" t="s">
        <v>77</v>
      </c>
      <c r="P13" s="11" t="s">
        <v>73</v>
      </c>
      <c r="Q13" s="20">
        <f>O7</f>
        <v>60</v>
      </c>
      <c r="R13" s="11" t="s">
        <v>74</v>
      </c>
      <c r="S13" s="31" t="s">
        <v>138</v>
      </c>
      <c r="T13" s="11" t="s">
        <v>177</v>
      </c>
      <c r="U13" s="20">
        <f>IF(S13="No","",(ROUNDUP(U7/W13/24,0)))</f>
        <v>5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9" t="s">
        <v>193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29"/>
      <c r="N14" s="131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00000000000001" customHeight="1" x14ac:dyDescent="0.2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8">
        <v>110</v>
      </c>
      <c r="P16" s="89"/>
      <c r="Q16" s="11" t="s">
        <v>105</v>
      </c>
      <c r="R16" s="88" t="s">
        <v>23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1"/>
      <c r="Y16" s="142"/>
    </row>
    <row r="17" spans="1:25" ht="20.100000000000001" customHeight="1" x14ac:dyDescent="0.25">
      <c r="A17" s="74" t="s">
        <v>6</v>
      </c>
      <c r="B17" s="74"/>
      <c r="C17" s="77" t="s">
        <v>146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8" t="s">
        <v>35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23</v>
      </c>
      <c r="V17" s="89"/>
      <c r="W17" s="11" t="str">
        <f>IF(ISNUMBER(SEARCH("roll",O8,1)),"Total Rolls","Total Ctns")</f>
        <v>Total Ctns</v>
      </c>
      <c r="X17" s="141"/>
      <c r="Y17" s="142"/>
    </row>
    <row r="18" spans="1:25" ht="20.100000000000001" customHeight="1" x14ac:dyDescent="0.25">
      <c r="A18" s="74" t="s">
        <v>7</v>
      </c>
      <c r="B18" s="74"/>
      <c r="C18" s="77" t="s">
        <v>145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8" t="s">
        <v>38</v>
      </c>
      <c r="P18" s="89"/>
      <c r="Q18" s="11" t="s">
        <v>106</v>
      </c>
      <c r="R18" s="88" t="s">
        <v>31</v>
      </c>
      <c r="S18" s="89"/>
      <c r="T18" s="21" t="s">
        <v>27</v>
      </c>
      <c r="U18" s="88" t="s">
        <v>36</v>
      </c>
      <c r="V18" s="89"/>
      <c r="W18" s="11" t="s">
        <v>109</v>
      </c>
      <c r="X18" s="141"/>
      <c r="Y18" s="142"/>
    </row>
    <row r="19" spans="1:25" ht="20.100000000000001" customHeight="1" x14ac:dyDescent="0.25">
      <c r="A19" s="74" t="s">
        <v>8</v>
      </c>
      <c r="B19" s="74"/>
      <c r="C19" s="77" t="s">
        <v>144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143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198</v>
      </c>
      <c r="D21" s="78"/>
      <c r="E21" s="84">
        <v>0.1</v>
      </c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201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31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00000000000001" customHeight="1" x14ac:dyDescent="0.25">
      <c r="A24" s="80" t="s">
        <v>202</v>
      </c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175</v>
      </c>
    </row>
    <row r="25" spans="1:25" ht="20.100000000000001" customHeight="1" x14ac:dyDescent="0.2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29"/>
      <c r="N25" s="22" t="s">
        <v>96</v>
      </c>
      <c r="O25" s="10" t="s">
        <v>197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3"/>
      <c r="B26" s="22" t="s">
        <v>179</v>
      </c>
      <c r="C26" s="22" t="s">
        <v>92</v>
      </c>
      <c r="D26" s="24" t="s">
        <v>90</v>
      </c>
      <c r="E26" s="24" t="s">
        <v>91</v>
      </c>
      <c r="F26" s="24" t="s">
        <v>93</v>
      </c>
      <c r="G26" s="140" t="s">
        <v>132</v>
      </c>
      <c r="H26" s="140"/>
      <c r="I26" s="140" t="s">
        <v>131</v>
      </c>
      <c r="J26" s="140"/>
      <c r="K26" s="24" t="s">
        <v>94</v>
      </c>
      <c r="L26" s="24" t="s">
        <v>95</v>
      </c>
      <c r="M26" s="29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181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189</v>
      </c>
      <c r="X27" s="24" t="s">
        <v>190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2" t="s">
        <v>99</v>
      </c>
      <c r="B29" s="93"/>
      <c r="C29" s="93"/>
      <c r="D29" s="93"/>
      <c r="E29" s="93"/>
      <c r="F29" s="136"/>
      <c r="G29" s="136"/>
      <c r="H29" s="136"/>
      <c r="I29" s="136"/>
      <c r="J29" s="136"/>
      <c r="K29" s="93"/>
      <c r="L29" s="13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181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189</v>
      </c>
      <c r="X44" s="24" t="s">
        <v>190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45865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45856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176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149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192</v>
      </c>
      <c r="T19" s="1"/>
      <c r="V19" s="1"/>
    </row>
    <row r="20" spans="1:23" x14ac:dyDescent="0.25">
      <c r="A20" s="55" t="s">
        <v>155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165</v>
      </c>
      <c r="T20" s="1"/>
      <c r="V20" s="1"/>
    </row>
    <row r="21" spans="1:23" x14ac:dyDescent="0.2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166</v>
      </c>
      <c r="T21" s="1"/>
      <c r="V21" s="1"/>
      <c r="W21" s="2"/>
    </row>
    <row r="22" spans="1:23" x14ac:dyDescent="0.2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167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168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169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170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171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182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184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172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176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154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147</v>
      </c>
    </row>
    <row r="60" spans="1:20" x14ac:dyDescent="0.25">
      <c r="A60" s="55" t="s">
        <v>148</v>
      </c>
      <c r="O60" s="1"/>
      <c r="Q60" s="1"/>
      <c r="R60" s="3"/>
      <c r="S60" s="1"/>
    </row>
    <row r="61" spans="1:20" x14ac:dyDescent="0.25">
      <c r="A61" s="55" t="s">
        <v>149</v>
      </c>
      <c r="O61" s="1"/>
      <c r="Q61" s="1"/>
      <c r="R61" s="1"/>
      <c r="S61" s="1"/>
    </row>
    <row r="62" spans="1:20" x14ac:dyDescent="0.25">
      <c r="A62" s="55" t="s">
        <v>150</v>
      </c>
      <c r="O62" s="1"/>
      <c r="Q62" s="1"/>
      <c r="R62" s="1"/>
      <c r="S62" s="1"/>
    </row>
    <row r="63" spans="1:20" x14ac:dyDescent="0.25">
      <c r="A63" s="55" t="s">
        <v>151</v>
      </c>
      <c r="O63" s="1"/>
      <c r="Q63" s="1"/>
      <c r="R63" s="1"/>
      <c r="S63" s="1"/>
      <c r="T63" s="1"/>
    </row>
    <row r="64" spans="1:20" x14ac:dyDescent="0.25">
      <c r="A64" s="55" t="s">
        <v>152</v>
      </c>
      <c r="O64" s="1"/>
      <c r="Q64" s="1"/>
      <c r="R64" s="1"/>
      <c r="S64" s="1"/>
      <c r="T64" s="1"/>
    </row>
    <row r="65" spans="1:20" x14ac:dyDescent="0.25">
      <c r="A65" s="55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163A8F0-6C54-43B5-81C6-A75AF44A8B8C}"/>
</file>

<file path=customXml/itemProps2.xml><?xml version="1.0" encoding="utf-8"?>
<ds:datastoreItem xmlns:ds="http://schemas.openxmlformats.org/officeDocument/2006/customXml" ds:itemID="{40078889-6060-403F-9E2E-37EB384D3878}"/>
</file>

<file path=customXml/itemProps3.xml><?xml version="1.0" encoding="utf-8"?>
<ds:datastoreItem xmlns:ds="http://schemas.openxmlformats.org/officeDocument/2006/customXml" ds:itemID="{F7B9ECF5-A480-46D6-BA14-77EE2EDDDD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2024-05-10T00:29:30Z</cp:lastPrinted>
  <dcterms:created xsi:type="dcterms:W3CDTF">2019-11-27T23:28:06Z</dcterms:created>
  <dcterms:modified xsi:type="dcterms:W3CDTF">2025-06-27T01:10:35Z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