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058B7C5-DF56-41CF-8D24-1E97C97ED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<sst xmlns="http://schemas.openxmlformats.org/spreadsheetml/2006/main" count="305" uniqueCount="202">
  <si>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</si>
  <si>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</si>
  <si>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</si>
  <si>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</si>
  <si>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</si>
  <si>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</si>
  <si>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</si>
  <si>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</si>
  <si>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</si>
  <si>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</si>
  <si>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</si>
  <si>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</si>
  <si>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</si>
  <si>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</si>
  <si>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</si>
  <si>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</si>
  <si>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</si>
  <si>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</si>
  <si>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</si>
  <si>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</si>
  <si>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</si>
  <si>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</si>
  <si>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</si>
  <si>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</si>
  <si>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</si>
  <si>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</si>
  <si>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</si>
  <si>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</si>
  <si>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</si>
  <si>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</si>
  <si>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</si>
  <si>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</si>
  <si>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</si>
  <si>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</si>
  <si>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</si>
  <si>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</si>
  <si>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</si>
  <si>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</si>
  <si>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</si>
  <si>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</si>
  <si>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</si>
  <si>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</si>
  <si>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</si>
  <si>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</si>
  <si>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</si>
  <si>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</si>
  <si>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</si>
  <si>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</si>
  <si>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</si>
  <si>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</si>
  <si>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</si>
  <si>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</si>
  <si>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</si>
  <si>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</si>
  <si>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</si>
  <si>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</si>
  <si>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</si>
  <si>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</si>
  <si>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</si>
  <si>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</si>
  <si>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</si>
  <si>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</si>
  <si>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</si>
  <si>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</si>
  <si>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</si>
  <si>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</si>
  <si>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</si>
  <si>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</si>
  <si>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</si>
  <si>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</si>
  <si>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</si>
  <si>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</si>
  <si>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</si>
  <si>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</si>
  <si>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</si>
  <si>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</si>
  <si>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</si>
  <si>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</si>
  <si>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</si>
  <si>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</si>
  <si>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</si>
  <si>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</si>
  <si>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</si>
  <si>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</si>
  <si>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</si>
  <si>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</si>
  <si>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</si>
  <si>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</si>
  <si>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</si>
  <si>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</si>
  <si>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</si>
  <si>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</si>
  <si>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</si>
  <si>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</si>
  <si>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</si>
  <si>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</si>
  <si>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</si>
  <si>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</si>
  <si>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</si>
  <si>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</si>
  <si>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</si>
  <si>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</si>
  <si>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</si>
  <si>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</si>
  <si>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</si>
  <si>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</si>
  <si>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</si>
  <si>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</si>
  <si>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</si>
  <si>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</si>
  <si>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</si>
  <si>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</si>
  <si>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</si>
  <si>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</si>
  <si>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</si>
  <si>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</si>
  <si>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</si>
  <si>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</si>
  <si>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</si>
  <si>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</si>
  <si>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</si>
  <si>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</si>
  <si>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</si>
  <si>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</si>
  <si>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</si>
  <si>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</si>
  <si>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</si>
  <si>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</si>
  <si>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</si>
  <si>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</si>
  <si>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</si>
  <si>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</si>
  <si>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</si>
  <si>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</si>
  <si>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</si>
  <si>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</si>
  <si>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</si>
  <si>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</si>
  <si>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</si>
  <si>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</si>
  <si>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</si>
  <si>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</si>
  <si>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</si>
  <si>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</si>
  <si>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</si>
  <si>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</si>
  <si>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</si>
  <si>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</si>
  <si>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</si>
  <si>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</si>
  <si>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</si>
  <si>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</si>
  <si>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</si>
  <si>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</si>
  <si>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</si>
  <si>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</si>
  <si>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</si>
  <si>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</si>
  <si>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</si>
  <si>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</si>
  <si>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</si>
  <si>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</si>
  <si>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</si>
  <si>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</si>
  <si>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</si>
  <si>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</si>
  <si>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</si>
  <si>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</si>
  <si>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</si>
  <si>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</si>
  <si>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</si>
  <si>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</si>
  <si>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</si>
  <si>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</si>
  <si>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</si>
  <si>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</si>
  <si>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</si>
  <si>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</si>
  <si>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</si>
  <si>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</si>
  <si>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</si>
  <si>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</si>
  <si>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</si>
  <si>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</si>
  <si>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</si>
  <si>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</si>
  <si>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</si>
  <si>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</si>
  <si>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</si>
  <si>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</si>
  <si>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</si>
  <si>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</si>
  <si>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</si>
  <si>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</si>
  <si>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LIMAX</t>
  </si>
  <si>
    <t>DEPT AG&amp;FISHERIES</t>
  </si>
  <si>
    <t>NOT UNDER</t>
  </si>
  <si>
    <t xml:space="preserve"> +/- 5mm</t>
  </si>
  <si>
    <t xml:space="preserve">DAFF WACOL - </t>
  </si>
  <si>
    <t>DAFF WACOL -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</si>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</sst>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5" borderId="4" xfId="0" applyFont="1" applyFill="1" applyBorder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6" fillId="5" borderId="2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PB480520500</v>
      </c>
      <c r="C1" s="110"/>
      <c r="D1" s="111"/>
      <c r="E1" s="10" t="s">
        <v>57</v>
      </c>
      <c r="F1" s="62" t="s">
        <v>195</v>
      </c>
      <c r="G1" s="62"/>
      <c r="H1" s="63"/>
      <c r="I1" s="11" t="s">
        <v>181</v>
      </c>
      <c r="J1" s="121">
        <f ca="1">TODAY()</f>
        <v>45835</v>
      </c>
      <c r="K1" s="121"/>
      <c r="L1" s="122"/>
      <c r="M1" s="28"/>
      <c r="N1" s="10" t="s">
        <v>56</v>
      </c>
      <c r="O1" s="110" t="str">
        <f>B1</f>
        <v>PB480520500</v>
      </c>
      <c r="P1" s="110"/>
      <c r="Q1" s="111"/>
      <c r="R1" s="10" t="s">
        <v>57</v>
      </c>
      <c r="S1" s="110" t="str">
        <f>F1</f>
        <v>DEPT AG&amp;FISHERIES</v>
      </c>
      <c r="T1" s="110"/>
      <c r="U1" s="111"/>
      <c r="V1" s="10" t="s">
        <v>181</v>
      </c>
      <c r="W1" s="121">
        <f ca="1">J1</f>
        <v>45835</v>
      </c>
      <c r="X1" s="121"/>
      <c r="Y1" s="122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62">
        <v>949238</v>
      </c>
      <c r="G2" s="62"/>
      <c r="H2" s="63"/>
      <c r="I2" s="10" t="s">
        <v>59</v>
      </c>
      <c r="J2" s="124">
        <v>45684</v>
      </c>
      <c r="K2" s="62"/>
      <c r="L2" s="63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949238</v>
      </c>
      <c r="T2" s="110"/>
      <c r="U2" s="111"/>
      <c r="V2" s="10" t="s">
        <v>59</v>
      </c>
      <c r="W2" s="123">
        <f>J2</f>
        <v>45684</v>
      </c>
      <c r="X2" s="110"/>
      <c r="Y2" s="111"/>
    </row>
    <row r="3" spans="1:25" ht="20.100000000000001" customHeight="1" x14ac:dyDescent="0.25">
      <c r="A3" s="112" t="s">
        <v>198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">
        <v>199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14</v>
      </c>
      <c r="P7" s="63"/>
      <c r="Q7" s="10" t="str">
        <f>IF(ISNUMBER(SEARCH("roll",O8,1)),"Per Roll","Per Carton")</f>
        <v>Per Carton</v>
      </c>
      <c r="R7" s="62">
        <v>500</v>
      </c>
      <c r="S7" s="63"/>
      <c r="T7" s="10" t="str">
        <f>IF(ISNUMBER(SEARCH("bag",O8,1)),"Total Bags","Total Sheets")</f>
        <v>Total Bags</v>
      </c>
      <c r="U7" s="110">
        <f>R7*O7</f>
        <v>7000</v>
      </c>
      <c r="V7" s="111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8">
        <f>R9</f>
        <v>480</v>
      </c>
      <c r="C8" s="99"/>
      <c r="D8" s="26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2" t="s">
        <v>52</v>
      </c>
      <c r="H8" s="98">
        <f>(IF(V9&lt;30,"30",V9))</f>
        <v>50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00" t="s">
        <v>164</v>
      </c>
      <c r="P8" s="101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15" t="s">
        <v>48</v>
      </c>
      <c r="B9" s="127" t="s">
        <v>197</v>
      </c>
      <c r="C9" s="128"/>
      <c r="D9" s="135" t="str">
        <f>IF(K10="Middle","RUN 2 UP",IF(AND(O8="Centrefold Roll",B8=380),"RUN 2 UP",""))</f>
        <v/>
      </c>
      <c r="E9" s="102"/>
      <c r="F9" s="103"/>
      <c r="G9" s="15" t="s">
        <v>48</v>
      </c>
      <c r="H9" s="127" t="s">
        <v>196</v>
      </c>
      <c r="I9" s="128"/>
      <c r="J9" s="10" t="s">
        <v>55</v>
      </c>
      <c r="K9" s="62" t="s">
        <v>30</v>
      </c>
      <c r="L9" s="63"/>
      <c r="M9" s="28"/>
      <c r="N9" s="16"/>
      <c r="O9" s="104" t="str">
        <f>IF(O8="Poly Bag","PB",IF(O8="Poly Bag Roll","PBR",IF(O8="Centrefold Roll","CFR",IF(O8="Sheet","S",IF(O8="Sheet Roll","SR")))))</f>
        <v>PB</v>
      </c>
      <c r="P9" s="105"/>
      <c r="Q9" s="16"/>
      <c r="R9" s="29">
        <v>480</v>
      </c>
      <c r="S9" s="17" t="s">
        <v>78</v>
      </c>
      <c r="T9" s="29">
        <v>520</v>
      </c>
      <c r="U9" s="17" t="s">
        <v>78</v>
      </c>
      <c r="V9" s="29">
        <v>50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5</v>
      </c>
      <c r="C10" s="63"/>
      <c r="D10" s="46" t="s">
        <v>134</v>
      </c>
      <c r="E10" s="129">
        <f>IF(ISNUMBER(SEARCH("sheet",O8,1)),((R9*T9*H8/540000)*U7/2000*1.3),((R9*T9*H8/540000)*U7/1000*1.08))</f>
        <v>174.72</v>
      </c>
      <c r="F10" s="130"/>
      <c r="G10" s="10" t="s">
        <v>53</v>
      </c>
      <c r="H10" s="133">
        <f>IF(ISNUMBER(SEARCH("sheet",O8,1)),(U7*T9/2000*1.08),(U7*T9/1000*1.08))</f>
        <v>3931.2000000000003</v>
      </c>
      <c r="I10" s="134"/>
      <c r="J10" s="10" t="s">
        <v>41</v>
      </c>
      <c r="K10" s="62" t="s">
        <v>44</v>
      </c>
      <c r="L10" s="63"/>
      <c r="M10" s="28"/>
      <c r="N10" s="13" t="s">
        <v>141</v>
      </c>
      <c r="O10" s="100" t="s">
        <v>44</v>
      </c>
      <c r="P10" s="101"/>
      <c r="Q10" s="13" t="s">
        <v>50</v>
      </c>
      <c r="R10" s="96" t="str">
        <f>IF(K11="NONE","None",IF(K11="INLINE","Yes",IF(K11="OUT OF LINE","Yes")))</f>
        <v>None</v>
      </c>
      <c r="S10" s="96"/>
      <c r="T10" s="13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31">
        <f>E10/B10</f>
        <v>34.944000000000003</v>
      </c>
      <c r="F11" s="132"/>
      <c r="G11" s="10" t="s">
        <v>15</v>
      </c>
      <c r="H11" s="131">
        <f>H10/B10</f>
        <v>786.24</v>
      </c>
      <c r="I11" s="132"/>
      <c r="J11" s="10" t="s">
        <v>50</v>
      </c>
      <c r="K11" s="62" t="s">
        <v>44</v>
      </c>
      <c r="L11" s="63"/>
      <c r="M11" s="28"/>
      <c r="N11" s="12"/>
      <c r="O11" s="98" t="str">
        <f>IF(O10="NONE","","V")</f>
        <v/>
      </c>
      <c r="P11" s="99"/>
      <c r="Q11" s="12"/>
      <c r="R11" s="98" t="str">
        <f>IF(R10="None","","P")</f>
        <v/>
      </c>
      <c r="S11" s="99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14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9" t="s">
        <v>4</v>
      </c>
      <c r="F16" s="139"/>
      <c r="G16" s="139" t="s">
        <v>5</v>
      </c>
      <c r="H16" s="139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130</v>
      </c>
      <c r="P16" s="63"/>
      <c r="Q16" s="10" t="s">
        <v>105</v>
      </c>
      <c r="R16" s="62" t="s">
        <v>31</v>
      </c>
      <c r="S16" s="63"/>
      <c r="T16" s="58" t="s">
        <v>103</v>
      </c>
      <c r="U16" s="90" t="s">
        <v>23</v>
      </c>
      <c r="V16" s="91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4" t="s">
        <v>147</v>
      </c>
      <c r="D17" s="95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58" t="str">
        <f>IF(ISNUMBER(SEARCH("roll",O8,1)),"Part Rolls","Part Ctns")</f>
        <v>Part Ctns</v>
      </c>
      <c r="U17" s="90" t="s">
        <v>23</v>
      </c>
      <c r="V17" s="91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4" t="s">
        <v>146</v>
      </c>
      <c r="D18" s="95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4" t="s">
        <v>145</v>
      </c>
      <c r="D19" s="95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4" t="s">
        <v>144</v>
      </c>
      <c r="D20" s="95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4" t="s">
        <v>143</v>
      </c>
      <c r="D21" s="95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0" t="s">
        <v>200</v>
      </c>
      <c r="B23" s="140"/>
      <c r="C23" s="94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5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1"/>
      <c r="B24" s="14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194</v>
      </c>
      <c r="P25" s="33"/>
      <c r="Q25" s="9">
        <v>30</v>
      </c>
      <c r="R25" s="9"/>
      <c r="S25" s="9"/>
      <c r="T25" s="9"/>
      <c r="U25" s="9"/>
      <c r="V25" s="9"/>
      <c r="W25" s="9">
        <v>15</v>
      </c>
      <c r="X25" s="9">
        <v>11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3" t="s">
        <v>132</v>
      </c>
      <c r="H26" s="93"/>
      <c r="I26" s="93" t="s">
        <v>131</v>
      </c>
      <c r="J26" s="93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143">
        <v>22.2</v>
      </c>
      <c r="E27" s="144">
        <v>7.5</v>
      </c>
      <c r="F27" s="7"/>
      <c r="G27" s="92"/>
      <c r="H27" s="92"/>
      <c r="I27" s="92"/>
      <c r="J27" s="92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2"/>
      <c r="H28" s="92"/>
      <c r="I28" s="92"/>
      <c r="J28" s="92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45865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45856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DD12DA4-8768-4E50-BE90-EA28AFE5975D}"/>
</file>

<file path=customXml/itemProps2.xml><?xml version="1.0" encoding="utf-8"?>
<ds:datastoreItem xmlns:ds="http://schemas.openxmlformats.org/officeDocument/2006/customXml" ds:itemID="{6FF6EBC7-2C4F-4161-88DB-7BA0ECDD1E58}"/>
</file>

<file path=customXml/itemProps3.xml><?xml version="1.0" encoding="utf-8"?>
<ds:datastoreItem xmlns:ds="http://schemas.openxmlformats.org/officeDocument/2006/customXml" ds:itemID="{652B6DB2-A272-4F3C-BA2C-72AB1FC30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2025-01-06T04:18:58Z</cp:lastPrinted>
  <dcterms:created xsi:type="dcterms:W3CDTF">2019-11-27T23:28:06Z</dcterms:created>
  <dcterms:modified xsi:type="dcterms:W3CDTF">2025-06-27T01:57:02Z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