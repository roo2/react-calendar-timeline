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3F1D10B-F06E-454D-AFB4-CEB1CDFB76B2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<sst xmlns="http://schemas.openxmlformats.org/spreadsheetml/2006/main" count="303" uniqueCount="198">
  <si>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</si>
  <si>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</si>
  <si>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</si>
  <si>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</si>
  <si>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</si>
  <si>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</si>
  <si>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</si>
  <si>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</si>
  <si>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</si>
  <si>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</si>
  <si>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</si>
  <si>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</si>
  <si>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</si>
  <si>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</si>
  <si>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</si>
  <si>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</si>
  <si>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</si>
  <si>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</si>
  <si>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</si>
  <si>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</si>
  <si>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</si>
  <si>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</si>
  <si>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</si>
  <si>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</si>
  <si>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</si>
  <si>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</si>
  <si>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</si>
  <si>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</si>
  <si>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</si>
  <si>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</si>
  <si>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</si>
  <si>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</si>
  <si>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</si>
  <si>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</si>
  <si>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</si>
  <si>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</si>
  <si>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</si>
  <si>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</si>
  <si>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</si>
  <si>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</si>
  <si>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</si>
  <si>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</si>
  <si>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</si>
  <si>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</si>
  <si>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</si>
  <si>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</si>
  <si>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</si>
  <si>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</si>
  <si>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</si>
  <si>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</si>
  <si>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</si>
  <si>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</si>
  <si>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</si>
  <si>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</si>
  <si>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</si>
  <si>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</si>
  <si>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</si>
  <si>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</si>
  <si>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</si>
  <si>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</si>
  <si>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</si>
  <si>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</si>
  <si>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</si>
  <si>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</si>
  <si>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</si>
  <si>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</si>
  <si>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</si>
  <si>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</si>
  <si>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</si>
  <si>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</si>
  <si>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</si>
  <si>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</si>
  <si>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</si>
  <si>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</si>
  <si>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</si>
  <si>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</si>
  <si>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</si>
  <si>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</si>
  <si>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</si>
  <si>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</si>
  <si>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</si>
  <si>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</si>
  <si>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</si>
  <si>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</si>
  <si>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</si>
  <si>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</si>
  <si>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</si>
  <si>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</si>
  <si>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</si>
  <si>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</si>
  <si>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</si>
  <si>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</si>
  <si>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</si>
  <si>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</si>
  <si>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</si>
  <si>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</si>
  <si>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</si>
  <si>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</si>
  <si>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</si>
  <si>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</si>
  <si>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</si>
  <si>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</si>
  <si>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</si>
  <si>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</si>
  <si>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</si>
  <si>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</si>
  <si>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</si>
  <si>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</si>
  <si>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</si>
  <si>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</si>
  <si>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</si>
  <si>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</si>
  <si>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</si>
  <si>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</si>
  <si>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</si>
  <si>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</si>
  <si>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</si>
  <si>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</si>
  <si>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</si>
  <si>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</si>
  <si>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</si>
  <si>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</si>
  <si>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</si>
  <si>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</si>
  <si>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</si>
  <si>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</si>
  <si>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</si>
  <si>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</si>
  <si>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</si>
  <si>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</si>
  <si>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</si>
  <si>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</si>
  <si>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</si>
  <si>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</si>
  <si>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</si>
  <si>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</si>
  <si>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</si>
  <si>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</si>
  <si>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</si>
  <si>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</si>
  <si>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</si>
  <si>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</si>
  <si>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</si>
  <si>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</si>
  <si>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</si>
  <si>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</si>
  <si>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</si>
  <si>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</si>
  <si>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</si>
  <si>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</si>
  <si>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</si>
  <si>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</si>
  <si>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</si>
  <si>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</si>
  <si>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</si>
  <si>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</si>
  <si>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</si>
  <si>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</si>
  <si>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</si>
  <si>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</si>
  <si>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</si>
  <si>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</si>
  <si>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</si>
  <si>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</si>
  <si>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</si>
  <si>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</si>
  <si>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</si>
  <si>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</si>
  <si>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</si>
  <si>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</si>
  <si>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</si>
  <si>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</si>
  <si>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</si>
  <si>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</si>
  <si>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</si>
  <si>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</si>
  <si>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</si>
  <si>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</si>
  <si>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</si>
  <si>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</si>
  <si>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</si>
  <si>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</si>
  <si>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</si>
  <si>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</si>
  <si>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</si>
  <si>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</si>
  <si>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</si>
  <si>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</si>
  <si>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</si>
  <si>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</si>
  <si>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</si>
  <si>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</si>
  <si>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</si>
  <si>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</si>
  <si>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TACRON PLASTICS</t>
  </si>
  <si>
    <t xml:space="preserve"> +/- 5mm</t>
  </si>
  <si>
    <t xml:space="preserve"> +/- 5um</t>
  </si>
  <si>
    <t>NEW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</si>
</sst>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W13" sqref="W13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PB10522075</v>
      </c>
      <c r="C1" s="123"/>
      <c r="D1" s="124"/>
      <c r="E1" s="12" t="s">
        <v>57</v>
      </c>
      <c r="F1" s="134" t="s">
        <v>194</v>
      </c>
      <c r="G1" s="134"/>
      <c r="H1" s="135"/>
      <c r="I1" s="13" t="s">
        <v>181</v>
      </c>
      <c r="J1" s="136">
        <f ca="1">TODAY()</f>
        <v>43990</v>
      </c>
      <c r="K1" s="136"/>
      <c r="L1" s="137"/>
      <c r="M1" s="34"/>
      <c r="N1" s="12" t="s">
        <v>56</v>
      </c>
      <c r="O1" s="123" t="str">
        <f>B1</f>
        <v>PB10522075</v>
      </c>
      <c r="P1" s="123"/>
      <c r="Q1" s="124"/>
      <c r="R1" s="12" t="s">
        <v>57</v>
      </c>
      <c r="S1" s="123" t="str">
        <f>F1</f>
        <v>TACRON PLASTICS</v>
      </c>
      <c r="T1" s="123"/>
      <c r="U1" s="124"/>
      <c r="V1" s="12" t="s">
        <v>181</v>
      </c>
      <c r="W1" s="136">
        <f ca="1">J1</f>
        <v>43990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937471</v>
      </c>
      <c r="G2" s="73"/>
      <c r="H2" s="74"/>
      <c r="I2" s="12" t="s">
        <v>59</v>
      </c>
      <c r="J2" s="139">
        <v>44020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937471</v>
      </c>
      <c r="T2" s="123"/>
      <c r="U2" s="124"/>
      <c r="V2" s="12" t="s">
        <v>59</v>
      </c>
      <c r="W2" s="138">
        <f>J2</f>
        <v>44020</v>
      </c>
      <c r="X2" s="123"/>
      <c r="Y2" s="124"/>
    </row>
    <row r="3" spans="1:28" ht="20.05" customHeight="1" x14ac:dyDescent="0.3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4</v>
      </c>
      <c r="P7" s="74"/>
      <c r="Q7" s="12" t="str">
        <f>IF(ISNUMBER(SEARCH("roll",O8,1)),"Per Roll","Per Carton")</f>
        <v>Per Carton</v>
      </c>
      <c r="R7" s="73">
        <v>2500</v>
      </c>
      <c r="S7" s="74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105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3" t="s">
        <v>195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105</v>
      </c>
      <c r="S9" s="20" t="s">
        <v>78</v>
      </c>
      <c r="T9" s="35">
        <v>220</v>
      </c>
      <c r="U9" s="20" t="s">
        <v>78</v>
      </c>
      <c r="V9" s="35">
        <v>75</v>
      </c>
      <c r="W9" s="19"/>
      <c r="X9" s="99"/>
      <c r="Y9" s="100"/>
    </row>
    <row r="10" spans="1:28" ht="20.05" customHeight="1" x14ac:dyDescent="0.3">
      <c r="A10" s="12" t="s">
        <v>51</v>
      </c>
      <c r="B10" s="73">
        <v>4</v>
      </c>
      <c r="C10" s="74"/>
      <c r="D10" s="54" t="s">
        <v>134</v>
      </c>
      <c r="E10" s="145">
        <f>IF(ISNUMBER(SEARCH("sheet",O8,1)),((R9*T9*H8/540000)*U7/2000*1.3),((R9*T9*H8/540000)*U7/1000*1.08))</f>
        <v>34.650000000000006</v>
      </c>
      <c r="F10" s="146"/>
      <c r="G10" s="12" t="s">
        <v>53</v>
      </c>
      <c r="H10" s="149">
        <f>IF(ISNUMBER(SEARCH("sheet",O8,1)),(U7*T9/2000*1.08),(U7*T9/1000*1.08))</f>
        <v>2376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8.6625000000000014</v>
      </c>
      <c r="F11" s="148"/>
      <c r="G11" s="12" t="s">
        <v>15</v>
      </c>
      <c r="H11" s="147">
        <f>H10/B10</f>
        <v>594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4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64" t="s">
        <v>4</v>
      </c>
      <c r="F16" s="164"/>
      <c r="G16" s="164" t="s">
        <v>5</v>
      </c>
      <c r="H16" s="164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65"/>
      <c r="B23" s="165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66"/>
      <c r="B24" s="167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152" t="s">
        <v>116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6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61" t="s">
        <v>136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44020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44011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BE5B88A-FA7B-47EE-8EBB-C78C69BB7BF4}"/>
</file>

<file path=customXml/itemProps2.xml><?xml version="1.0" encoding="utf-8"?>
<ds:datastoreItem xmlns:ds="http://schemas.openxmlformats.org/officeDocument/2006/customXml" ds:itemID="{FD1947FD-5761-44EE-B1D2-5477A26EB790}"/>
</file>

<file path=customXml/itemProps3.xml><?xml version="1.0" encoding="utf-8"?>
<ds:datastoreItem xmlns:ds="http://schemas.openxmlformats.org/officeDocument/2006/customXml" ds:itemID="{392975D6-AD77-4C2F-8938-FC0E8B71FC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2020-06-08T05:28:53Z</cp:lastPrinted>
  <dcterms:created xsi:type="dcterms:W3CDTF">2019-11-27T23:28:06Z</dcterms:created>
  <dcterms:modified xsi:type="dcterms:W3CDTF">2020-06-08T05:29:06Z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