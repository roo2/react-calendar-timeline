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190B538-ADE2-4D33-8F45-5A1FC3D581F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<sst xmlns="http://schemas.openxmlformats.org/spreadsheetml/2006/main" count="301" uniqueCount="199">
  <si>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</si>
  <si>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</si>
  <si>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</si>
  <si>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</si>
  <si>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</si>
  <si>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</si>
  <si>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</si>
  <si>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</si>
  <si>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</si>
  <si>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</si>
  <si>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</si>
  <si>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</si>
  <si>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</si>
  <si>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</si>
  <si>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</si>
  <si>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</si>
  <si>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</si>
  <si>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</si>
  <si>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</si>
  <si>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</si>
  <si>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</si>
  <si>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</si>
  <si>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</si>
  <si>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</si>
  <si>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</si>
  <si>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</si>
  <si>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</si>
  <si>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</si>
  <si>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</si>
  <si>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</si>
  <si>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</si>
  <si>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</si>
  <si>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</si>
  <si>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</si>
  <si>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</si>
  <si>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</si>
  <si>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</si>
  <si>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</si>
  <si>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</si>
  <si>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</si>
  <si>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</si>
  <si>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</si>
  <si>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</si>
  <si>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</si>
  <si>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</si>
  <si>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</si>
  <si>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</si>
  <si>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</si>
  <si>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</si>
  <si>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</si>
  <si>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</si>
  <si>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</si>
  <si>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</si>
  <si>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</si>
  <si>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</si>
  <si>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</si>
  <si>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</si>
  <si>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</si>
  <si>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</si>
  <si>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</si>
  <si>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</si>
  <si>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</si>
  <si>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</si>
  <si>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</si>
  <si>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</si>
  <si>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</si>
  <si>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</si>
  <si>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</si>
  <si>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</si>
  <si>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</si>
  <si>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</si>
  <si>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</si>
  <si>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</si>
  <si>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</si>
  <si>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</si>
  <si>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</si>
  <si>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</si>
  <si>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</si>
  <si>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</si>
  <si>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</si>
  <si>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</si>
  <si>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</si>
  <si>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</si>
  <si>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</si>
  <si>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</si>
  <si>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</si>
  <si>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</si>
  <si>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</si>
  <si>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</si>
  <si>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</si>
  <si>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</si>
  <si>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</si>
  <si>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</si>
  <si>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</si>
  <si>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</si>
  <si>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</si>
  <si>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</si>
  <si>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</si>
  <si>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</si>
  <si>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</si>
  <si>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</si>
  <si>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</si>
  <si>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</si>
  <si>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</si>
  <si>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</si>
  <si>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</si>
  <si>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</si>
  <si>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</si>
  <si>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</si>
  <si>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</si>
  <si>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</si>
  <si>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</si>
  <si>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</si>
  <si>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</si>
  <si>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</si>
  <si>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</si>
  <si>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</si>
  <si>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</si>
  <si>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</si>
  <si>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</si>
  <si>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</si>
  <si>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</si>
  <si>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</si>
  <si>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</si>
  <si>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</si>
  <si>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</si>
  <si>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</si>
  <si>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</si>
  <si>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</si>
  <si>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</si>
  <si>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</si>
  <si>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</si>
  <si>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</si>
  <si>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</si>
  <si>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</si>
  <si>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</si>
  <si>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</si>
  <si>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</si>
  <si>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</si>
  <si>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</si>
  <si>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</si>
  <si>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</si>
  <si>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</si>
  <si>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</si>
  <si>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</si>
  <si>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</si>
  <si>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</si>
  <si>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</si>
  <si>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</si>
  <si>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</si>
  <si>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</si>
  <si>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</si>
  <si>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</si>
  <si>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</si>
  <si>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</si>
  <si>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</si>
  <si>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</si>
  <si>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</si>
  <si>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</si>
  <si>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</si>
  <si>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</si>
  <si>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</si>
  <si>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</si>
  <si>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</si>
  <si>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</si>
  <si>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</si>
  <si>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</si>
  <si>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</si>
  <si>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</si>
  <si>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</si>
  <si>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</si>
  <si>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</si>
  <si>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</si>
  <si>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</si>
  <si>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</si>
  <si>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</si>
  <si>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</si>
  <si>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</si>
  <si>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</si>
  <si>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</si>
  <si>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</si>
  <si>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</si>
  <si>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</si>
  <si>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</si>
  <si>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</si>
  <si>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</si>
  <si>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</si>
  <si>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</si>
  <si>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</si>
  <si>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</si>
  <si>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</si>
  <si>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</si>
  <si>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</si>
  <si>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</si>
  <si>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</si>
  <si>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NEW ITEM - NEW CUSTOMER</t>
  </si>
  <si>
    <t>CONTRACT RESOURCES</t>
  </si>
  <si>
    <t>RUN AT 190um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</si>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</sst>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PBR2403300200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44012</v>
      </c>
      <c r="K1" s="119"/>
      <c r="L1" s="120"/>
      <c r="M1" s="35"/>
      <c r="N1" s="18" t="s">
        <v>55</v>
      </c>
      <c r="O1" s="108" t="str">
        <f>B1</f>
        <v>PBR2403300200</v>
      </c>
      <c r="P1" s="108"/>
      <c r="Q1" s="109"/>
      <c r="R1" s="18" t="s">
        <v>56</v>
      </c>
      <c r="S1" s="108" t="str">
        <f>F1</f>
        <v>CONTRACT RESOURCES</v>
      </c>
      <c r="T1" s="108"/>
      <c r="U1" s="109"/>
      <c r="V1" s="18" t="s">
        <v>180</v>
      </c>
      <c r="W1" s="119">
        <f ca="1">J1</f>
        <v>44012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937571</v>
      </c>
      <c r="G2" s="71"/>
      <c r="H2" s="72"/>
      <c r="I2" s="18" t="s">
        <v>58</v>
      </c>
      <c r="J2" s="131">
        <v>44031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937571</v>
      </c>
      <c r="T2" s="108"/>
      <c r="U2" s="109"/>
      <c r="V2" s="18" t="s">
        <v>58</v>
      </c>
      <c r="W2" s="121">
        <f>J2</f>
        <v>44031</v>
      </c>
      <c r="X2" s="108"/>
      <c r="Y2" s="109"/>
    </row>
    <row r="3" spans="1:25" ht="20.100000000000001" customHeight="1" x14ac:dyDescent="0.2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 t="str">
        <f>A3</f>
        <v>NEW ITEM - NEW CUSTOMER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6</v>
      </c>
      <c r="P7" s="72"/>
      <c r="Q7" s="18" t="str">
        <f>IF(ISNUMBER(SEARCH("roll",O8,1)),"Per Roll","Per Carton")</f>
        <v>Per Roll</v>
      </c>
      <c r="R7" s="71">
        <v>50</v>
      </c>
      <c r="S7" s="72"/>
      <c r="T7" s="18" t="str">
        <f>IF(ISNUMBER(SEARCH("bag",O8,1)),"Total Bags","Total Sheets")</f>
        <v>Total Bags</v>
      </c>
      <c r="U7" s="108">
        <f>R7*O7</f>
        <v>300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29">
        <f>R9</f>
        <v>240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200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197</v>
      </c>
      <c r="I9" s="145"/>
      <c r="J9" s="18" t="s">
        <v>54</v>
      </c>
      <c r="K9" s="71" t="s">
        <v>33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240</v>
      </c>
      <c r="S9" s="25" t="s">
        <v>77</v>
      </c>
      <c r="T9" s="36">
        <v>3300</v>
      </c>
      <c r="U9" s="25" t="s">
        <v>77</v>
      </c>
      <c r="V9" s="36">
        <v>200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6</v>
      </c>
      <c r="C10" s="72"/>
      <c r="D10" s="56" t="s">
        <v>133</v>
      </c>
      <c r="E10" s="146">
        <f>IF(ISNUMBER(SEARCH("sheet",O8,1)),((R9*T9*H8/540000)*U7/2000*1.3),((R9*T9*H8/540000)*U7/1000*1.08))</f>
        <v>95.04</v>
      </c>
      <c r="F10" s="147"/>
      <c r="G10" s="18" t="s">
        <v>52</v>
      </c>
      <c r="H10" s="150">
        <f>IF(ISNUMBER(SEARCH("sheet",O8,1)),(U7*T9/2000*1.08),(U7*T9/1000*1.08))</f>
        <v>1069.2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15.840000000000002</v>
      </c>
      <c r="F11" s="149"/>
      <c r="G11" s="18" t="s">
        <v>14</v>
      </c>
      <c r="H11" s="148">
        <f>H10/B10</f>
        <v>178.20000000000002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6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30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 t="s">
        <v>198</v>
      </c>
      <c r="P25" s="41"/>
      <c r="Q25" s="10">
        <v>10</v>
      </c>
      <c r="R25" s="10">
        <v>9</v>
      </c>
      <c r="S25" s="10"/>
      <c r="T25" s="10">
        <v>10</v>
      </c>
      <c r="U25" s="10"/>
      <c r="V25" s="10"/>
      <c r="W25" s="10">
        <v>200</v>
      </c>
      <c r="X25" s="10">
        <v>200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44042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44033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089CC5B-0C1C-4652-92E7-606A59569BF8}"/>
</file>

<file path=customXml/itemProps2.xml><?xml version="1.0" encoding="utf-8"?>
<ds:datastoreItem xmlns:ds="http://schemas.openxmlformats.org/officeDocument/2006/customXml" ds:itemID="{3BF9DE56-7F9F-4B1A-9A83-9997F2DF486C}"/>
</file>

<file path=customXml/itemProps3.xml><?xml version="1.0" encoding="utf-8"?>
<ds:datastoreItem xmlns:ds="http://schemas.openxmlformats.org/officeDocument/2006/customXml" ds:itemID="{1AAC8CBC-EA27-4AAE-8EF2-9513DF840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2020-06-19T02:41:03Z</cp:lastPrinted>
  <dcterms:created xsi:type="dcterms:W3CDTF">2019-11-27T23:28:06Z</dcterms:created>
  <dcterms:modified xsi:type="dcterms:W3CDTF">2020-06-29T23:06:39Z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