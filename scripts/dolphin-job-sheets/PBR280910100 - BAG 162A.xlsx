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BA8ACD6-8EE5-49A8-88EB-172EF7A762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<sst xmlns="http://schemas.openxmlformats.org/spreadsheetml/2006/main" count="305" uniqueCount="202">
  <si>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</si>
  <si>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</si>
  <si>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</si>
  <si>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</si>
  <si>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</si>
  <si>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</si>
  <si>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</si>
  <si>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</si>
  <si>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</si>
  <si>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</si>
  <si>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</si>
  <si>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</si>
  <si>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</si>
  <si>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</si>
  <si>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</si>
  <si>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</si>
  <si>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</si>
  <si>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</si>
  <si>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</si>
  <si>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</si>
  <si>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</si>
  <si>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</si>
  <si>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</si>
  <si>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</si>
  <si>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</si>
  <si>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</si>
  <si>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</si>
  <si>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</si>
  <si>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</si>
  <si>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</si>
  <si>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</si>
  <si>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</si>
  <si>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</si>
  <si>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</si>
  <si>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</si>
  <si>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</si>
  <si>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</si>
  <si>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</si>
  <si>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</si>
  <si>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</si>
  <si>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</si>
  <si>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</si>
  <si>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</si>
  <si>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</si>
  <si>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</si>
  <si>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</si>
  <si>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</si>
  <si>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</si>
  <si>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</si>
  <si>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</si>
  <si>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</si>
  <si>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</si>
  <si>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</si>
  <si>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</si>
  <si>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</si>
  <si>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</si>
  <si>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</si>
  <si>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</si>
  <si>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</si>
  <si>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</si>
  <si>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</si>
  <si>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</si>
  <si>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</si>
  <si>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</si>
  <si>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</si>
  <si>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</si>
  <si>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</si>
  <si>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</si>
  <si>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</si>
  <si>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</si>
  <si>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</si>
  <si>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</si>
  <si>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</si>
  <si>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</si>
  <si>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</si>
  <si>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</si>
  <si>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</si>
  <si>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</si>
  <si>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</si>
  <si>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</si>
  <si>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</si>
  <si>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</si>
  <si>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</si>
  <si>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</si>
  <si>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</si>
  <si>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</si>
  <si>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</si>
  <si>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</si>
  <si>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</si>
  <si>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</si>
  <si>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</si>
  <si>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</si>
  <si>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</si>
  <si>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</si>
  <si>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</si>
  <si>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</si>
  <si>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</si>
  <si>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</si>
  <si>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</si>
  <si>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</si>
  <si>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</si>
  <si>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</si>
  <si>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</si>
  <si>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</si>
  <si>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</si>
  <si>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</si>
  <si>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</si>
  <si>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</si>
  <si>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</si>
  <si>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</si>
  <si>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</si>
  <si>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</si>
  <si>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</si>
  <si>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</si>
  <si>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</si>
  <si>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</si>
  <si>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</si>
  <si>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</si>
  <si>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</si>
  <si>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</si>
  <si>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</si>
  <si>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</si>
  <si>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</si>
  <si>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</si>
  <si>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</si>
  <si>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</si>
  <si>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</si>
  <si>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</si>
  <si>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</si>
  <si>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</si>
  <si>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</si>
  <si>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</si>
  <si>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</si>
  <si>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</si>
  <si>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</si>
  <si>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</si>
  <si>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</si>
  <si>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</si>
  <si>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</si>
  <si>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</si>
  <si>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</si>
  <si>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</si>
  <si>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</si>
  <si>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</si>
  <si>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</si>
  <si>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</si>
  <si>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</si>
  <si>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</si>
  <si>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</si>
  <si>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</si>
  <si>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</si>
  <si>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</si>
  <si>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</si>
  <si>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</si>
  <si>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</si>
  <si>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</si>
  <si>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</si>
  <si>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</si>
  <si>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</si>
  <si>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</si>
  <si>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</si>
  <si>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</si>
  <si>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</si>
  <si>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</si>
  <si>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</si>
  <si>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</si>
  <si>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</si>
  <si>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</si>
  <si>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</si>
  <si>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</si>
  <si>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</si>
  <si>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</si>
  <si>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</si>
  <si>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</si>
  <si>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</si>
  <si>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</si>
  <si>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</si>
  <si>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</si>
  <si>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</si>
  <si>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</si>
  <si>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</si>
  <si>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</si>
  <si>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</si>
  <si>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</si>
  <si>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</si>
  <si>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</si>
  <si>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</si>
  <si>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</si>
  <si>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</si>
  <si>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</si>
  <si>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</si>
  <si>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</si>
  <si>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</si>
  <si>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</si>
  <si>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THE DECKSTORE</t>
  </si>
  <si>
    <t xml:space="preserve"> +/- 5mm</t>
  </si>
  <si>
    <t>BAG 162A</t>
  </si>
  <si>
    <t>RUN AT 95UM</t>
  </si>
  <si>
    <t>PERF</t>
  </si>
  <si>
    <t>PERF INLINE - MUST HAVE WATERTIGHT SEALS -</t>
  </si>
  <si>
    <t>ANTIBLOCK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</si>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</sst>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2" fontId="11" fillId="0" borderId="6" xfId="0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9" t="str">
        <f>O9&amp;R9&amp;IF(X8="G","G","")&amp;IF(O8="Centrefold Roll","("&amp;E8&amp;")","")&amp;T9&amp;V9&amp;C22&amp;C23&amp;C24&amp;O11&amp;R11</f>
        <v>PBR2809101000</v>
      </c>
      <c r="C1" s="109"/>
      <c r="D1" s="110"/>
      <c r="E1" s="10" t="s">
        <v>57</v>
      </c>
      <c r="F1" s="62" t="s">
        <v>194</v>
      </c>
      <c r="G1" s="62"/>
      <c r="H1" s="63"/>
      <c r="I1" s="11" t="s">
        <v>181</v>
      </c>
      <c r="J1" s="120">
        <f ca="1">TODAY()</f>
        <v>45617</v>
      </c>
      <c r="K1" s="120"/>
      <c r="L1" s="121"/>
      <c r="M1" s="28"/>
      <c r="N1" s="10" t="s">
        <v>56</v>
      </c>
      <c r="O1" s="109" t="str">
        <f>B1</f>
        <v>PBR2809101000</v>
      </c>
      <c r="P1" s="109"/>
      <c r="Q1" s="110"/>
      <c r="R1" s="10" t="s">
        <v>57</v>
      </c>
      <c r="S1" s="109" t="str">
        <f>F1</f>
        <v>THE DECKSTORE</v>
      </c>
      <c r="T1" s="109"/>
      <c r="U1" s="110"/>
      <c r="V1" s="10" t="s">
        <v>181</v>
      </c>
      <c r="W1" s="120">
        <f ca="1">J1</f>
        <v>45617</v>
      </c>
      <c r="X1" s="120"/>
      <c r="Y1" s="121"/>
    </row>
    <row r="2" spans="1:25" ht="20.100000000000001" customHeight="1" x14ac:dyDescent="0.25">
      <c r="A2" s="10" t="s">
        <v>100</v>
      </c>
      <c r="B2" s="109" t="str">
        <f>IF(U10="","",U10)</f>
        <v>BAG 162A</v>
      </c>
      <c r="C2" s="109"/>
      <c r="D2" s="110"/>
      <c r="E2" s="10" t="s">
        <v>58</v>
      </c>
      <c r="F2" s="62">
        <v>57968</v>
      </c>
      <c r="G2" s="62"/>
      <c r="H2" s="63"/>
      <c r="I2" s="10" t="s">
        <v>59</v>
      </c>
      <c r="J2" s="123">
        <v>45590</v>
      </c>
      <c r="K2" s="62"/>
      <c r="L2" s="63"/>
      <c r="M2" s="28"/>
      <c r="N2" s="10" t="s">
        <v>100</v>
      </c>
      <c r="O2" s="109" t="str">
        <f>IF(B2="","",B2)</f>
        <v>BAG 162A</v>
      </c>
      <c r="P2" s="109"/>
      <c r="Q2" s="110"/>
      <c r="R2" s="10" t="s">
        <v>58</v>
      </c>
      <c r="S2" s="109">
        <f>IF(F2="","",F2)</f>
        <v>57968</v>
      </c>
      <c r="T2" s="109"/>
      <c r="U2" s="110"/>
      <c r="V2" s="10" t="s">
        <v>59</v>
      </c>
      <c r="W2" s="122">
        <f>J2</f>
        <v>45590</v>
      </c>
      <c r="X2" s="109"/>
      <c r="Y2" s="110"/>
    </row>
    <row r="3" spans="1:25" ht="20.100000000000001" customHeight="1" x14ac:dyDescent="0.25">
      <c r="A3" s="111" t="s">
        <v>199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8"/>
      <c r="N3" s="111" t="str">
        <f>A3</f>
        <v>PERF INLINE - MUST HAVE WATERTIGHT SEALS -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8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8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Rolls</v>
      </c>
      <c r="O7" s="62">
        <v>20</v>
      </c>
      <c r="P7" s="63"/>
      <c r="Q7" s="10" t="str">
        <f>IF(ISNUMBER(SEARCH("roll",O8,1)),"Per Roll","Per Carton")</f>
        <v>Per Roll</v>
      </c>
      <c r="R7" s="62">
        <v>250</v>
      </c>
      <c r="S7" s="63"/>
      <c r="T7" s="10" t="str">
        <f>IF(ISNUMBER(SEARCH("bag",O8,1)),"Total Bags","Total Sheets")</f>
        <v>Total Bags</v>
      </c>
      <c r="U7" s="109">
        <f>R7*O7</f>
        <v>5000</v>
      </c>
      <c r="V7" s="110"/>
      <c r="W7" s="10" t="s">
        <v>102</v>
      </c>
      <c r="X7" s="62" t="s">
        <v>31</v>
      </c>
      <c r="Y7" s="63"/>
    </row>
    <row r="8" spans="1:25" ht="20.100000000000001" customHeight="1" x14ac:dyDescent="0.25">
      <c r="A8" s="12" t="s">
        <v>16</v>
      </c>
      <c r="B8" s="96">
        <f>R9</f>
        <v>280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100</v>
      </c>
      <c r="I8" s="97"/>
      <c r="J8" s="10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8"/>
      <c r="N8" s="13" t="s">
        <v>54</v>
      </c>
      <c r="O8" s="98" t="s">
        <v>165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5" t="s">
        <v>48</v>
      </c>
      <c r="B9" s="126" t="s">
        <v>195</v>
      </c>
      <c r="C9" s="127"/>
      <c r="D9" s="134" t="str">
        <f>IF(K10="Middle","RUN 2 UP",IF(AND(O8="Centrefold Roll",B8=380),"RUN 2 UP",""))</f>
        <v/>
      </c>
      <c r="E9" s="100"/>
      <c r="F9" s="101"/>
      <c r="G9" s="15" t="s">
        <v>48</v>
      </c>
      <c r="H9" s="126" t="s">
        <v>197</v>
      </c>
      <c r="I9" s="127"/>
      <c r="J9" s="10" t="s">
        <v>55</v>
      </c>
      <c r="K9" s="62" t="s">
        <v>34</v>
      </c>
      <c r="L9" s="63"/>
      <c r="M9" s="28"/>
      <c r="N9" s="16"/>
      <c r="O9" s="102" t="str">
        <f>IF(O8="Poly Bag","PB",IF(O8="Poly Bag Roll","PBR",IF(O8="Centrefold Roll","CFR",IF(O8="Sheet","S",IF(O8="Sheet Roll","SR")))))</f>
        <v>PBR</v>
      </c>
      <c r="P9" s="103"/>
      <c r="Q9" s="16"/>
      <c r="R9" s="29">
        <v>280</v>
      </c>
      <c r="S9" s="17" t="s">
        <v>78</v>
      </c>
      <c r="T9" s="29">
        <v>910</v>
      </c>
      <c r="U9" s="17" t="s">
        <v>78</v>
      </c>
      <c r="V9" s="29">
        <v>100</v>
      </c>
      <c r="W9" s="16"/>
      <c r="X9" s="88"/>
      <c r="Y9" s="89"/>
    </row>
    <row r="10" spans="1:25" ht="20.100000000000001" customHeight="1" x14ac:dyDescent="0.25">
      <c r="A10" s="10" t="s">
        <v>51</v>
      </c>
      <c r="B10" s="62" t="s">
        <v>201</v>
      </c>
      <c r="C10" s="63"/>
      <c r="D10" s="46" t="s">
        <v>134</v>
      </c>
      <c r="E10" s="128">
        <f>IF(ISNUMBER(SEARCH("sheet",O8,1)),((R9*T9*H8/540000)*U7/2000*1.3),((R9*T9*H8/540000)*U7/1000*1.08))</f>
        <v>254.8</v>
      </c>
      <c r="F10" s="129"/>
      <c r="G10" s="10" t="s">
        <v>53</v>
      </c>
      <c r="H10" s="132">
        <f>IF(ISNUMBER(SEARCH("sheet",O8,1)),(U7*T9/2000*1.08),(U7*T9/1000*1.08))</f>
        <v>4914</v>
      </c>
      <c r="I10" s="133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 t="s">
        <v>196</v>
      </c>
      <c r="V10" s="104"/>
      <c r="W10" s="104"/>
      <c r="X10" s="105"/>
      <c r="Y10" s="106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0" t="s">
        <v>135</v>
      </c>
      <c r="E11" s="130" t="e">
        <f>E10/B10</f>
        <v>#VALUE!</v>
      </c>
      <c r="F11" s="131"/>
      <c r="G11" s="10" t="s">
        <v>15</v>
      </c>
      <c r="H11" s="130" t="e">
        <f>H10/B10</f>
        <v>#VALUE!</v>
      </c>
      <c r="I11" s="131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/>
      </c>
      <c r="S11" s="97"/>
      <c r="T11" s="12"/>
      <c r="U11" s="107"/>
      <c r="V11" s="107"/>
      <c r="W11" s="107"/>
      <c r="X11" s="107"/>
      <c r="Y11" s="108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20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>
        <v>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8" t="s">
        <v>4</v>
      </c>
      <c r="F16" s="138"/>
      <c r="G16" s="138" t="s">
        <v>5</v>
      </c>
      <c r="H16" s="138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/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/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Rolls</v>
      </c>
      <c r="U17" s="62" t="s">
        <v>23</v>
      </c>
      <c r="V17" s="63"/>
      <c r="W17" s="10" t="str">
        <f>IF(ISNUMBER(SEARCH("roll",O8,1)),"Total Rolls","Total Ctns")</f>
        <v>Total Rolls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/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9" t="s">
        <v>200</v>
      </c>
      <c r="B23" s="139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0"/>
      <c r="B24" s="141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198</v>
      </c>
      <c r="P25" s="33"/>
      <c r="Q25" s="9">
        <v>26</v>
      </c>
      <c r="R25" s="9">
        <v>9</v>
      </c>
      <c r="S25" s="9"/>
      <c r="T25" s="9">
        <v>8</v>
      </c>
      <c r="U25" s="9">
        <v>2</v>
      </c>
      <c r="V25" s="58">
        <v>2.5</v>
      </c>
      <c r="W25" s="9">
        <v>180</v>
      </c>
      <c r="X25" s="9">
        <v>180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201</v>
      </c>
      <c r="C27" s="7"/>
      <c r="D27" s="142">
        <v>23.6</v>
      </c>
      <c r="E27" s="143">
        <v>2.4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45647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45638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A3B66F3-FA47-4438-BF6C-D490E21BA237}"/>
</file>

<file path=customXml/itemProps2.xml><?xml version="1.0" encoding="utf-8"?>
<ds:datastoreItem xmlns:ds="http://schemas.openxmlformats.org/officeDocument/2006/customXml" ds:itemID="{2F5B9C71-5071-4CA1-A94E-E2AAEFEA9C83}"/>
</file>

<file path=customXml/itemProps3.xml><?xml version="1.0" encoding="utf-8"?>
<ds:datastoreItem xmlns:ds="http://schemas.openxmlformats.org/officeDocument/2006/customXml" ds:itemID="{BC3E336A-0FD2-4F0C-89DD-5AE2EC5CB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2024-10-04T03:22:53Z</cp:lastPrinted>
  <dcterms:created xsi:type="dcterms:W3CDTF">2019-11-27T23:28:06Z</dcterms:created>
  <dcterms:modified xsi:type="dcterms:W3CDTF">2024-11-20T23:10:22Z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