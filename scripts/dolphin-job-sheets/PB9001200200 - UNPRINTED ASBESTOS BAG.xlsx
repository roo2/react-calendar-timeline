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AB1313F-ED2D-4E4D-9618-8790607DE7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8" i="1" l="1"/>
  <c r="X8" i="1" s="1"/>
  <c r="E8" i="1"/>
  <c r="D8" i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O2" i="1"/>
  <c r="A22" i="1" l="1"/>
  <c r="C22" i="1" s="1"/>
  <c r="J1" i="1" l="1"/>
  <c r="A5" i="2" l="1"/>
  <c r="A4" i="2"/>
  <c r="W1" i="1"/>
  <c r="O9" i="1" l="1"/>
  <c r="B1" i="1" s="1"/>
  <c r="S1" i="1" l="1"/>
  <c r="O1" i="1" l="1"/>
</calcChain>
</file>

<file path=xl/sharedStrings.xml><?xml version="1.0" encoding="utf-8"?>
<sst xmlns="http://schemas.openxmlformats.org/spreadsheetml/2006/main" count="309" uniqueCount="204">
  <si>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</si>
  <si>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</si>
  <si>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</si>
  <si>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</si>
  <si>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</si>
  <si>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</si>
  <si>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</si>
  <si>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</si>
  <si>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</si>
  <si>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</si>
  <si>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</si>
  <si>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</si>
  <si>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</si>
  <si>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</si>
  <si>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</si>
  <si>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</si>
  <si>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</si>
  <si>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</si>
  <si>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</si>
  <si>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</si>
  <si>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</si>
  <si>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</si>
  <si>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</si>
  <si>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</si>
  <si>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</si>
  <si>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</si>
  <si>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</si>
  <si>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</si>
  <si>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</si>
  <si>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</si>
  <si>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</si>
  <si>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</si>
  <si>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</si>
  <si>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</si>
  <si>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</si>
  <si>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</si>
  <si>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</si>
  <si>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</si>
  <si>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</si>
  <si>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</si>
  <si>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</si>
  <si>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</si>
  <si>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</si>
  <si>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</si>
  <si>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</si>
  <si>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</si>
  <si>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</si>
  <si>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</si>
  <si>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</si>
  <si>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</si>
  <si>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</si>
  <si>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</si>
  <si>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</si>
  <si>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</si>
  <si>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</si>
  <si>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</si>
  <si>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</si>
  <si>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</si>
  <si>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</si>
  <si>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</si>
  <si>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</si>
  <si>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</si>
  <si>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</si>
  <si>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</si>
  <si>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</si>
  <si>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</si>
  <si>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</si>
  <si>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</si>
  <si>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</si>
  <si>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</si>
  <si>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</si>
  <si>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</si>
  <si>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</si>
  <si>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</si>
  <si>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</si>
  <si>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</si>
  <si>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</si>
  <si>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</si>
  <si>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</si>
  <si>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</si>
  <si>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</si>
  <si>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</si>
  <si>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</si>
  <si>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</si>
  <si>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</si>
  <si>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</si>
  <si>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</si>
  <si>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</si>
  <si>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</si>
  <si>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</si>
  <si>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</si>
  <si>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</si>
  <si>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</si>
  <si>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</si>
  <si>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</si>
  <si>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</si>
  <si>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</si>
  <si>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</si>
  <si>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</si>
  <si>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</si>
  <si>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</si>
  <si>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</si>
  <si>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</si>
  <si>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</si>
  <si>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</si>
  <si>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</si>
  <si>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</si>
  <si>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</si>
  <si>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</si>
  <si>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</si>
  <si>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</si>
  <si>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</si>
  <si>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</si>
  <si>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</si>
  <si>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</si>
  <si>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</si>
  <si>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</si>
  <si>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</si>
  <si>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</si>
  <si>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</si>
  <si>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</si>
  <si>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</si>
  <si>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</si>
  <si>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</si>
  <si>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</si>
  <si>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</si>
  <si>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</si>
  <si>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</si>
  <si>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</si>
  <si>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</si>
  <si>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</si>
  <si>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</si>
  <si>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</si>
  <si>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</si>
  <si>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</si>
  <si>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</si>
  <si>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</si>
  <si>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</si>
  <si>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</si>
  <si>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</si>
  <si>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</si>
  <si>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</si>
  <si>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</si>
  <si>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</si>
  <si>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</si>
  <si>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</si>
  <si>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</si>
  <si>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</si>
  <si>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</si>
  <si>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</si>
  <si>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</si>
  <si>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</si>
  <si>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</si>
  <si>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</si>
  <si>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</si>
  <si>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</si>
  <si>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</si>
  <si>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</si>
  <si>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</si>
  <si>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</si>
  <si>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</si>
  <si>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</si>
  <si>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</si>
  <si>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</si>
  <si>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</si>
  <si>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</si>
  <si>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</si>
  <si>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</si>
  <si>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</si>
  <si>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</si>
  <si>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</si>
  <si>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</si>
  <si>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</si>
  <si>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</si>
  <si>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</si>
  <si>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</si>
  <si>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</si>
  <si>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</si>
  <si>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</si>
  <si>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</si>
  <si>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</si>
  <si>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</si>
  <si>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</si>
  <si>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</si>
  <si>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</si>
  <si>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</si>
  <si>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</si>
  <si>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</si>
  <si>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</si>
  <si>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</si>
  <si>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</si>
  <si>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</si>
  <si>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</si>
  <si>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</si>
  <si>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</si>
  <si>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UNPRINTED ASBESTOS</t>
  </si>
  <si>
    <t>LIMAX</t>
  </si>
  <si>
    <t>RUN @ 185-190UM</t>
  </si>
  <si>
    <t>#65</t>
  </si>
  <si>
    <t>MINEMECH</t>
  </si>
  <si>
    <t>ANTILBLOCK</t>
  </si>
  <si>
    <t>#55</t>
  </si>
  <si>
    <t>92/90</t>
  </si>
  <si>
    <t>1.7/2.1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</si>
</sst>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07" t="str">
        <f>O9&amp;R9&amp;IF(X8="G","G","")&amp;IF(O8="Centrefold Roll","("&amp;E8&amp;")","")&amp;T9&amp;V9&amp;C22&amp;C23&amp;C24&amp;O11&amp;R11</f>
        <v>PB90012002000</v>
      </c>
      <c r="C1" s="107"/>
      <c r="D1" s="108"/>
      <c r="E1" s="9" t="s">
        <v>57</v>
      </c>
      <c r="F1" s="61" t="s">
        <v>199</v>
      </c>
      <c r="G1" s="61"/>
      <c r="H1" s="62"/>
      <c r="I1" s="10" t="s">
        <v>181</v>
      </c>
      <c r="J1" s="118">
        <f ca="1">TODAY()</f>
        <v>45733</v>
      </c>
      <c r="K1" s="118"/>
      <c r="L1" s="119"/>
      <c r="M1" s="27"/>
      <c r="N1" s="9" t="s">
        <v>56</v>
      </c>
      <c r="O1" s="107" t="str">
        <f>B1</f>
        <v>PB90012002000</v>
      </c>
      <c r="P1" s="107"/>
      <c r="Q1" s="108"/>
      <c r="R1" s="9" t="s">
        <v>57</v>
      </c>
      <c r="S1" s="107" t="str">
        <f>F1</f>
        <v>MINEMECH</v>
      </c>
      <c r="T1" s="107"/>
      <c r="U1" s="108"/>
      <c r="V1" s="9" t="s">
        <v>181</v>
      </c>
      <c r="W1" s="118">
        <f ca="1">J1</f>
        <v>45733</v>
      </c>
      <c r="X1" s="118"/>
      <c r="Y1" s="119"/>
    </row>
    <row r="2" spans="1:25" ht="20.100000000000001" customHeight="1" x14ac:dyDescent="0.25">
      <c r="A2" s="9" t="s">
        <v>100</v>
      </c>
      <c r="B2" s="107" t="str">
        <f>IF(U10="","",U10)</f>
        <v>UNPRINTED ASBESTOS</v>
      </c>
      <c r="C2" s="107"/>
      <c r="D2" s="108"/>
      <c r="E2" s="9" t="s">
        <v>58</v>
      </c>
      <c r="F2" s="61">
        <v>949282</v>
      </c>
      <c r="G2" s="61"/>
      <c r="H2" s="62"/>
      <c r="I2" s="9" t="s">
        <v>59</v>
      </c>
      <c r="J2" s="121">
        <v>45695</v>
      </c>
      <c r="K2" s="61"/>
      <c r="L2" s="62"/>
      <c r="M2" s="27"/>
      <c r="N2" s="9" t="s">
        <v>100</v>
      </c>
      <c r="O2" s="107" t="str">
        <f>IF(B2="","",B2)</f>
        <v>UNPRINTED ASBESTOS</v>
      </c>
      <c r="P2" s="107"/>
      <c r="Q2" s="108"/>
      <c r="R2" s="9" t="s">
        <v>58</v>
      </c>
      <c r="S2" s="107">
        <v>940738</v>
      </c>
      <c r="T2" s="107"/>
      <c r="U2" s="108"/>
      <c r="V2" s="9" t="s">
        <v>59</v>
      </c>
      <c r="W2" s="120">
        <f>J2</f>
        <v>45695</v>
      </c>
      <c r="X2" s="107"/>
      <c r="Y2" s="108"/>
    </row>
    <row r="3" spans="1:25" ht="20.100000000000001" customHeight="1" x14ac:dyDescent="0.25">
      <c r="A3" s="109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27"/>
      <c r="N3" s="109">
        <f>A3</f>
        <v>0</v>
      </c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1"/>
    </row>
    <row r="4" spans="1:25" ht="20.100000000000001" customHeight="1" x14ac:dyDescent="0.25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  <c r="M4" s="27"/>
      <c r="N4" s="112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4"/>
    </row>
    <row r="5" spans="1:25" ht="20.100000000000001" customHeigh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27"/>
      <c r="N5" s="115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7"/>
    </row>
    <row r="6" spans="1:25" ht="20.100000000000001" customHeight="1" x14ac:dyDescent="0.25">
      <c r="A6" s="122" t="s">
        <v>2</v>
      </c>
      <c r="B6" s="123"/>
      <c r="C6" s="123"/>
      <c r="D6" s="123"/>
      <c r="E6" s="123"/>
      <c r="F6" s="123"/>
      <c r="G6" s="123"/>
      <c r="H6" s="123"/>
      <c r="I6" s="123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9" t="s">
        <v>49</v>
      </c>
      <c r="B7" s="99" t="s">
        <v>163</v>
      </c>
      <c r="C7" s="99"/>
      <c r="D7" s="99"/>
      <c r="E7" s="99"/>
      <c r="F7" s="99"/>
      <c r="G7" s="99"/>
      <c r="H7" s="99"/>
      <c r="I7" s="100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20</v>
      </c>
      <c r="P7" s="62"/>
      <c r="Q7" s="9" t="str">
        <f>IF(ISNUMBER(SEARCH("roll",O8,1)),"Per Roll","Per Carton")</f>
        <v>Per Carton</v>
      </c>
      <c r="R7" s="61">
        <v>50</v>
      </c>
      <c r="S7" s="62"/>
      <c r="T7" s="9" t="str">
        <f>IF(ISNUMBER(SEARCH("bag",O8,1)),"Total Bags","Total Sheets")</f>
        <v>Total Bags</v>
      </c>
      <c r="U7" s="107">
        <f>R7*O7</f>
        <v>1000</v>
      </c>
      <c r="V7" s="108"/>
      <c r="W7" s="9" t="s">
        <v>102</v>
      </c>
      <c r="X7" s="61" t="s">
        <v>23</v>
      </c>
      <c r="Y7" s="62"/>
    </row>
    <row r="8" spans="1:25" ht="20.100000000000001" customHeight="1" x14ac:dyDescent="0.25">
      <c r="A8" s="11" t="s">
        <v>16</v>
      </c>
      <c r="B8" s="95">
        <f>R9</f>
        <v>900</v>
      </c>
      <c r="C8" s="96"/>
      <c r="D8" s="25" t="str">
        <f>IF(ISNUMBER(SEARCH("bag",O8,1)),"Gusset","Centrefold")</f>
        <v>Gusset</v>
      </c>
      <c r="E8" s="95" t="str">
        <f>IF(O8="Centrefold Roll",B8*2,IF(X9="","None",X9))</f>
        <v>None</v>
      </c>
      <c r="F8" s="96"/>
      <c r="G8" s="11" t="s">
        <v>52</v>
      </c>
      <c r="H8" s="95">
        <f>(IF(V9&lt;30,"30",V9))</f>
        <v>200</v>
      </c>
      <c r="I8" s="96"/>
      <c r="J8" s="9" t="s">
        <v>54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27"/>
      <c r="N8" s="12" t="s">
        <v>54</v>
      </c>
      <c r="O8" s="97" t="s">
        <v>164</v>
      </c>
      <c r="P8" s="98"/>
      <c r="Q8" s="12" t="s">
        <v>190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None</v>
      </c>
      <c r="Y8" s="94"/>
    </row>
    <row r="9" spans="1:25" ht="20.100000000000001" customHeight="1" x14ac:dyDescent="0.3">
      <c r="A9" s="14" t="s">
        <v>48</v>
      </c>
      <c r="B9" s="124" t="s">
        <v>182</v>
      </c>
      <c r="C9" s="125"/>
      <c r="D9" s="132" t="str">
        <f>IF(K10="Middle","RUN 2 UP",IF(AND(O8="Centrefold Roll",B8=380),"RUN 2 UP",""))</f>
        <v/>
      </c>
      <c r="E9" s="99"/>
      <c r="F9" s="100"/>
      <c r="G9" s="14" t="s">
        <v>48</v>
      </c>
      <c r="H9" s="124" t="s">
        <v>197</v>
      </c>
      <c r="I9" s="125"/>
      <c r="J9" s="9" t="s">
        <v>55</v>
      </c>
      <c r="K9" s="61" t="s">
        <v>30</v>
      </c>
      <c r="L9" s="62"/>
      <c r="M9" s="27"/>
      <c r="N9" s="15"/>
      <c r="O9" s="101" t="str">
        <f>IF(LEN(O8)-LEN(SUBSTITUTE(O8," ",""))=0,LEFT(O8,1),IF(LEN(O8)-LEN(SUBSTITUTE(O8," ",""))=1,LEFT(O8,1)&amp;MID(O8,FIND(" ",O8)+1,1),LEFT(O8,1)&amp;MID(O8,FIND(" ",O8)+1,1)&amp;MID(O8,FIND(" ",O8,FIND(" ",O8)+1)+1,1)))</f>
        <v>PB</v>
      </c>
      <c r="P9" s="102"/>
      <c r="Q9" s="15"/>
      <c r="R9" s="28">
        <v>900</v>
      </c>
      <c r="S9" s="16" t="s">
        <v>78</v>
      </c>
      <c r="T9" s="28">
        <v>1200</v>
      </c>
      <c r="U9" s="16" t="s">
        <v>78</v>
      </c>
      <c r="V9" s="28">
        <v>200</v>
      </c>
      <c r="W9" s="15"/>
      <c r="X9" s="87"/>
      <c r="Y9" s="88"/>
    </row>
    <row r="10" spans="1:25" ht="20.100000000000001" customHeight="1" x14ac:dyDescent="0.25">
      <c r="A10" s="9" t="s">
        <v>51</v>
      </c>
      <c r="B10" s="61">
        <v>12</v>
      </c>
      <c r="C10" s="62"/>
      <c r="D10" s="45" t="s">
        <v>134</v>
      </c>
      <c r="E10" s="126">
        <f>IF(ISNUMBER(SEARCH("sheet",O8,1)),((R9*T9*H8/540000)*U7/2000*1.3),((R9*T9*H8/540000)*U7/1000*1.08))</f>
        <v>432</v>
      </c>
      <c r="F10" s="127"/>
      <c r="G10" s="9" t="s">
        <v>53</v>
      </c>
      <c r="H10" s="130">
        <f>IF(ISNUMBER(SEARCH("sheet",O8,1)),(U7*T9/2000*1.08),(U7*T9/1000*1.08))</f>
        <v>1296</v>
      </c>
      <c r="I10" s="131"/>
      <c r="J10" s="9" t="s">
        <v>41</v>
      </c>
      <c r="K10" s="61" t="s">
        <v>44</v>
      </c>
      <c r="L10" s="62"/>
      <c r="M10" s="27"/>
      <c r="N10" s="12" t="s">
        <v>141</v>
      </c>
      <c r="O10" s="97" t="s">
        <v>44</v>
      </c>
      <c r="P10" s="98"/>
      <c r="Q10" s="12" t="s">
        <v>50</v>
      </c>
      <c r="R10" s="93" t="str">
        <f>IF(K11="NONE","None",IF(K11="INLINE","Yes",IF(K11="OUT OF LINE","Yes")))</f>
        <v>None</v>
      </c>
      <c r="S10" s="93"/>
      <c r="T10" s="12" t="s">
        <v>100</v>
      </c>
      <c r="U10" s="103" t="s">
        <v>195</v>
      </c>
      <c r="V10" s="103"/>
      <c r="W10" s="103"/>
      <c r="X10" s="103"/>
      <c r="Y10" s="104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07" t="str">
        <f>IF(AND(O8="Centrefold Roll",D9="RUN 2 UP"),B10*2,IF(ISNUMBER(SEARCH("sheet",O8,1)),B10*2,""))</f>
        <v/>
      </c>
      <c r="C11" s="108"/>
      <c r="D11" s="9" t="s">
        <v>135</v>
      </c>
      <c r="E11" s="128">
        <f>E10/B10</f>
        <v>36</v>
      </c>
      <c r="F11" s="129"/>
      <c r="G11" s="9" t="s">
        <v>15</v>
      </c>
      <c r="H11" s="128">
        <f>H10/B10</f>
        <v>108</v>
      </c>
      <c r="I11" s="129"/>
      <c r="J11" s="9" t="s">
        <v>50</v>
      </c>
      <c r="K11" s="61" t="s">
        <v>44</v>
      </c>
      <c r="L11" s="62"/>
      <c r="M11" s="27"/>
      <c r="N11" s="11"/>
      <c r="O11" s="95" t="str">
        <f>IF(O10="NONE","","V")</f>
        <v/>
      </c>
      <c r="P11" s="96"/>
      <c r="Q11" s="11"/>
      <c r="R11" s="95" t="str">
        <f>IF(R10="None","","P")</f>
        <v/>
      </c>
      <c r="S11" s="96"/>
      <c r="T11" s="11"/>
      <c r="U11" s="105"/>
      <c r="V11" s="105"/>
      <c r="W11" s="105"/>
      <c r="X11" s="105"/>
      <c r="Y11" s="106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20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/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36" t="s">
        <v>4</v>
      </c>
      <c r="F16" s="136"/>
      <c r="G16" s="136" t="s">
        <v>5</v>
      </c>
      <c r="H16" s="136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 t="s">
        <v>170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1" t="s">
        <v>147</v>
      </c>
      <c r="D17" s="92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37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23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1" t="s">
        <v>146</v>
      </c>
      <c r="D18" s="92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172</v>
      </c>
      <c r="P18" s="62"/>
      <c r="Q18" s="9" t="s">
        <v>106</v>
      </c>
      <c r="R18" s="61" t="s">
        <v>23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1" t="s">
        <v>145</v>
      </c>
      <c r="D19" s="92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1" t="s">
        <v>144</v>
      </c>
      <c r="D20" s="92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1" t="s">
        <v>143</v>
      </c>
      <c r="D21" s="92"/>
      <c r="E21" s="58"/>
      <c r="F21" s="59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2"/>
      <c r="E22" s="58"/>
      <c r="F22" s="59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37" t="s">
        <v>200</v>
      </c>
      <c r="B23" s="137"/>
      <c r="C23" s="91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2"/>
      <c r="E23" s="58"/>
      <c r="F23" s="59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38"/>
      <c r="B24" s="139"/>
      <c r="C24" s="9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2"/>
      <c r="E24" s="58"/>
      <c r="F24" s="59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196</v>
      </c>
      <c r="P25" s="32"/>
      <c r="Q25" s="8">
        <v>18</v>
      </c>
      <c r="R25" s="8"/>
      <c r="S25" s="8"/>
      <c r="T25" s="8"/>
      <c r="U25" s="8"/>
      <c r="V25" s="8"/>
      <c r="W25" s="8">
        <v>18</v>
      </c>
      <c r="X25" s="8">
        <v>16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0" t="s">
        <v>132</v>
      </c>
      <c r="H26" s="90"/>
      <c r="I26" s="90" t="s">
        <v>131</v>
      </c>
      <c r="J26" s="90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0" t="s">
        <v>96</v>
      </c>
      <c r="B27" s="7" t="s">
        <v>198</v>
      </c>
      <c r="C27" s="7"/>
      <c r="D27" s="8" t="s">
        <v>202</v>
      </c>
      <c r="E27" s="57" t="s">
        <v>203</v>
      </c>
      <c r="F27" s="7"/>
      <c r="G27" s="89"/>
      <c r="H27" s="89"/>
      <c r="I27" s="89"/>
      <c r="J27" s="89"/>
      <c r="K27" s="7"/>
      <c r="L27" s="8"/>
      <c r="M27" s="27"/>
      <c r="N27" s="22" t="s">
        <v>183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191</v>
      </c>
      <c r="X27" s="22" t="s">
        <v>192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201</v>
      </c>
      <c r="C28" s="7"/>
      <c r="D28" s="8">
        <v>39</v>
      </c>
      <c r="E28" s="57">
        <v>1.8</v>
      </c>
      <c r="F28" s="7"/>
      <c r="G28" s="89"/>
      <c r="H28" s="89"/>
      <c r="I28" s="89"/>
      <c r="J28" s="89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33" t="s">
        <v>136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5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183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191</v>
      </c>
      <c r="X44" s="22" t="s">
        <v>192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45764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45754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184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186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0AB9472-ECF2-4D76-8D00-3433D7EF5262}"/>
</file>

<file path=customXml/itemProps2.xml><?xml version="1.0" encoding="utf-8"?>
<ds:datastoreItem xmlns:ds="http://schemas.openxmlformats.org/officeDocument/2006/customXml" ds:itemID="{5EB3B6A5-C6BE-4EA7-8763-E2879EBB389F}"/>
</file>

<file path=customXml/itemProps3.xml><?xml version="1.0" encoding="utf-8"?>
<ds:datastoreItem xmlns:ds="http://schemas.openxmlformats.org/officeDocument/2006/customXml" ds:itemID="{5DF3AC51-8E90-402F-B997-CEDEA4AF35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2025-01-17T01:57:10Z</cp:lastPrinted>
  <dcterms:created xsi:type="dcterms:W3CDTF">2019-11-27T23:28:06Z</dcterms:created>
  <dcterms:modified xsi:type="dcterms:W3CDTF">2025-03-16T22:21:14Z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