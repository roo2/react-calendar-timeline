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021F6AD-FBF8-4517-976B-BA15D50AF361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<sst xmlns="http://schemas.openxmlformats.org/spreadsheetml/2006/main" count="304" uniqueCount="199">
  <si>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</si>
  <si>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</si>
  <si>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</si>
  <si>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</si>
  <si>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</si>
  <si>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</si>
  <si>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</si>
  <si>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</si>
  <si>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</si>
  <si>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</si>
  <si>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</si>
  <si>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</si>
  <si>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</si>
  <si>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</si>
  <si>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</si>
  <si>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</si>
  <si>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</si>
  <si>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</si>
  <si>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</si>
  <si>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</si>
  <si>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</si>
  <si>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</si>
  <si>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</si>
  <si>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</si>
  <si>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</si>
  <si>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</si>
  <si>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</si>
  <si>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</si>
  <si>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</si>
  <si>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</si>
  <si>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</si>
  <si>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</si>
  <si>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</si>
  <si>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</si>
  <si>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</si>
  <si>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</si>
  <si>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</si>
  <si>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</si>
  <si>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</si>
  <si>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</si>
  <si>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</si>
  <si>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</si>
  <si>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</si>
  <si>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</si>
  <si>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</si>
  <si>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</si>
  <si>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</si>
  <si>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</si>
  <si>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</si>
  <si>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</si>
  <si>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</si>
  <si>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</si>
  <si>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</si>
  <si>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</si>
  <si>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</si>
  <si>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</si>
  <si>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</si>
  <si>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</si>
  <si>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</si>
  <si>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</si>
  <si>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</si>
  <si>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</si>
  <si>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</si>
  <si>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</si>
  <si>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</si>
  <si>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</si>
  <si>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</si>
  <si>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</si>
  <si>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</si>
  <si>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</si>
  <si>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</si>
  <si>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</si>
  <si>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</si>
  <si>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</si>
  <si>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</si>
  <si>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</si>
  <si>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</si>
  <si>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</si>
  <si>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</si>
  <si>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</si>
  <si>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</si>
  <si>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</si>
  <si>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</si>
  <si>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</si>
  <si>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</si>
  <si>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</si>
  <si>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</si>
  <si>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</si>
  <si>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</si>
  <si>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</si>
  <si>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</si>
  <si>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</si>
  <si>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</si>
  <si>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</si>
  <si>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</si>
  <si>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</si>
  <si>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</si>
  <si>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</si>
  <si>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</si>
  <si>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</si>
  <si>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</si>
  <si>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</si>
  <si>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</si>
  <si>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</si>
  <si>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</si>
  <si>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</si>
  <si>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</si>
  <si>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</si>
  <si>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</si>
  <si>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</si>
  <si>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</si>
  <si>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</si>
  <si>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</si>
  <si>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</si>
  <si>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</si>
  <si>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</si>
  <si>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</si>
  <si>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</si>
  <si>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</si>
  <si>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</si>
  <si>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</si>
  <si>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</si>
  <si>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</si>
  <si>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</si>
  <si>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</si>
  <si>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</si>
  <si>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</si>
  <si>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</si>
  <si>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</si>
  <si>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</si>
  <si>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</si>
  <si>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</si>
  <si>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</si>
  <si>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</si>
  <si>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</si>
  <si>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</si>
  <si>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</si>
  <si>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</si>
  <si>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</si>
  <si>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</si>
  <si>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</si>
  <si>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</si>
  <si>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</si>
  <si>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</si>
  <si>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</si>
  <si>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</si>
  <si>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</si>
  <si>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</si>
  <si>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</si>
  <si>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</si>
  <si>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</si>
  <si>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</si>
  <si>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</si>
  <si>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</si>
  <si>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</si>
  <si>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</si>
  <si>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</si>
  <si>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</si>
  <si>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</si>
  <si>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</si>
  <si>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</si>
  <si>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</si>
  <si>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</si>
  <si>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</si>
  <si>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</si>
  <si>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</si>
  <si>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</si>
  <si>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</si>
  <si>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</si>
  <si>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</si>
  <si>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</si>
  <si>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</si>
  <si>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</si>
  <si>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</si>
  <si>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</si>
  <si>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</si>
  <si>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</si>
  <si>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</si>
  <si>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</si>
  <si>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</si>
  <si>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</si>
  <si>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</si>
  <si>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</si>
  <si>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</si>
  <si>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</si>
  <si>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</si>
  <si>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</si>
  <si>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</si>
  <si>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</si>
  <si>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</si>
  <si>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</si>
  <si>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</si>
  <si>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</si>
  <si>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</si>
  <si>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</si>
  <si>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CORALS DOWN UNDER</t>
  </si>
  <si>
    <t>#2 BAG</t>
  </si>
  <si>
    <t>MUST NOT BE UNDER WIDTH - MUST HAVE WATER TIGHT SEALS CHECK FREQUENTLY</t>
  </si>
  <si>
    <t xml:space="preserve"> +5um/-0mm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</si>
</sst>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PB15035075</v>
      </c>
      <c r="C1" s="122"/>
      <c r="D1" s="123"/>
      <c r="E1" s="12" t="s">
        <v>57</v>
      </c>
      <c r="F1" s="133" t="s">
        <v>195</v>
      </c>
      <c r="G1" s="134"/>
      <c r="H1" s="135"/>
      <c r="I1" s="13" t="s">
        <v>181</v>
      </c>
      <c r="J1" s="95">
        <f ca="1">TODAY()</f>
        <v>44068</v>
      </c>
      <c r="K1" s="95"/>
      <c r="L1" s="96"/>
      <c r="M1" s="34"/>
      <c r="N1" s="12" t="s">
        <v>56</v>
      </c>
      <c r="O1" s="122" t="str">
        <f>B1</f>
        <v>PB15035075</v>
      </c>
      <c r="P1" s="122"/>
      <c r="Q1" s="123"/>
      <c r="R1" s="12" t="s">
        <v>57</v>
      </c>
      <c r="S1" s="122" t="str">
        <f>F1</f>
        <v>CORALS DOWN UNDER</v>
      </c>
      <c r="T1" s="122"/>
      <c r="U1" s="123"/>
      <c r="V1" s="12" t="s">
        <v>181</v>
      </c>
      <c r="W1" s="95">
        <f ca="1">J1</f>
        <v>44068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#2 BAG</v>
      </c>
      <c r="C2" s="122"/>
      <c r="D2" s="123"/>
      <c r="E2" s="12" t="s">
        <v>58</v>
      </c>
      <c r="F2" s="98">
        <v>938208</v>
      </c>
      <c r="G2" s="98"/>
      <c r="H2" s="99"/>
      <c r="I2" s="12" t="s">
        <v>59</v>
      </c>
      <c r="J2" s="97">
        <v>44099</v>
      </c>
      <c r="K2" s="98"/>
      <c r="L2" s="99"/>
      <c r="M2" s="34"/>
      <c r="N2" s="12" t="s">
        <v>100</v>
      </c>
      <c r="O2" s="122" t="str">
        <f>IF(B2="","",B2)</f>
        <v>#2 BAG</v>
      </c>
      <c r="P2" s="122"/>
      <c r="Q2" s="123"/>
      <c r="R2" s="12" t="s">
        <v>58</v>
      </c>
      <c r="S2" s="122">
        <f>IF(F2="","",F2)</f>
        <v>938208</v>
      </c>
      <c r="T2" s="122"/>
      <c r="U2" s="123"/>
      <c r="V2" s="12" t="s">
        <v>59</v>
      </c>
      <c r="W2" s="136">
        <f>J2</f>
        <v>44099</v>
      </c>
      <c r="X2" s="122"/>
      <c r="Y2" s="123"/>
    </row>
    <row r="3" spans="1:28" ht="20.05" customHeight="1" x14ac:dyDescent="0.3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NOT BE UNDER WIDTH - MUST HAVE WATER TIGHT SEALS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20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20000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150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75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05" customHeight="1" x14ac:dyDescent="0.35">
      <c r="A9" s="18" t="s">
        <v>48</v>
      </c>
      <c r="B9" s="110" t="s">
        <v>198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150</v>
      </c>
      <c r="S9" s="20" t="s">
        <v>78</v>
      </c>
      <c r="T9" s="35">
        <v>350</v>
      </c>
      <c r="U9" s="20" t="s">
        <v>78</v>
      </c>
      <c r="V9" s="35">
        <v>75</v>
      </c>
      <c r="W9" s="19"/>
      <c r="X9" s="152"/>
      <c r="Y9" s="153"/>
    </row>
    <row r="10" spans="1:28" ht="20.05" customHeight="1" x14ac:dyDescent="0.3">
      <c r="A10" s="12" t="s">
        <v>51</v>
      </c>
      <c r="B10" s="98">
        <v>18</v>
      </c>
      <c r="C10" s="99"/>
      <c r="D10" s="54" t="s">
        <v>134</v>
      </c>
      <c r="E10" s="112">
        <f>IF(ISNUMBER(SEARCH("sheet",O8,1)),((R9*T9*H8/540000)*U7/2000*1.3),((R9*T9*H8/540000)*U7/1000*1.08))</f>
        <v>157.50000000000003</v>
      </c>
      <c r="F10" s="113"/>
      <c r="G10" s="12" t="s">
        <v>53</v>
      </c>
      <c r="H10" s="116">
        <f>IF(ISNUMBER(SEARCH("sheet",O8,1)),(U7*T9/2000*1.08),(U7*T9/1000*1.08))</f>
        <v>7560.0000000000009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196</v>
      </c>
      <c r="V10" s="144"/>
      <c r="W10" s="144"/>
      <c r="X10" s="144"/>
      <c r="Y10" s="145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8.7500000000000018</v>
      </c>
      <c r="F11" s="115"/>
      <c r="G11" s="12" t="s">
        <v>15</v>
      </c>
      <c r="H11" s="114">
        <f>H10/B10</f>
        <v>420.00000000000006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44099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44089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FBE1486-FB2B-4556-A05E-EC01390646B8}"/>
</file>

<file path=customXml/itemProps2.xml><?xml version="1.0" encoding="utf-8"?>
<ds:datastoreItem xmlns:ds="http://schemas.openxmlformats.org/officeDocument/2006/customXml" ds:itemID="{17904928-9BC7-4521-BDA5-57452CB4467A}"/>
</file>

<file path=customXml/itemProps3.xml><?xml version="1.0" encoding="utf-8"?>
<ds:datastoreItem xmlns:ds="http://schemas.openxmlformats.org/officeDocument/2006/customXml" ds:itemID="{6402F8F9-AD39-4DD1-8352-C9BCF6812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2020-08-25T01:00:15Z</cp:lastPrinted>
  <dcterms:created xsi:type="dcterms:W3CDTF">2019-11-27T23:28:06Z</dcterms:created>
  <dcterms:modified xsi:type="dcterms:W3CDTF">2020-08-25T01:00:17Z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