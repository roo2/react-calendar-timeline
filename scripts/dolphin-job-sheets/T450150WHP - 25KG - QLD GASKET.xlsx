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0D5E44D-FA54-4637-829D-C2FCAADC7B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<sst xmlns="http://schemas.openxmlformats.org/spreadsheetml/2006/main" count="228" uniqueCount="170">
  <si>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</si>
  <si>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</si>
  <si>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</si>
  <si>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</si>
  <si>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</si>
  <si>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</si>
  <si>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</si>
  <si>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</si>
  <si>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</si>
  <si>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</si>
  <si>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</si>
  <si>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</si>
  <si>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</si>
  <si>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</si>
  <si>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</si>
  <si>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</si>
  <si>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</si>
  <si>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</si>
  <si>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</si>
  <si>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</si>
  <si>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</si>
  <si>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</si>
  <si>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</si>
  <si>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</si>
  <si>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</si>
  <si>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</si>
  <si>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</si>
  <si>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</si>
  <si>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</si>
  <si>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</si>
  <si>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</si>
  <si>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</si>
  <si>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</si>
  <si>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</si>
  <si>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</si>
  <si>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</si>
  <si>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</si>
  <si>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</si>
  <si>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</si>
  <si>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</si>
  <si>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</si>
  <si>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</si>
  <si>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</si>
  <si>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</si>
  <si>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</si>
  <si>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</si>
  <si>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</si>
  <si>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</si>
  <si>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</si>
  <si>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</si>
  <si>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</si>
  <si>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</si>
  <si>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</si>
  <si>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</si>
  <si>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</si>
  <si>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</si>
  <si>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</si>
  <si>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</si>
  <si>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</si>
  <si>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</si>
  <si>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</si>
  <si>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</si>
  <si>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</si>
  <si>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</si>
  <si>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</si>
  <si>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</si>
  <si>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</si>
  <si>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</si>
  <si>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</si>
  <si>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</si>
  <si>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</si>
  <si>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</si>
  <si>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</si>
  <si>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</si>
  <si>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</si>
  <si>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</si>
  <si>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</si>
  <si>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</si>
  <si>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</si>
  <si>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</si>
  <si>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</si>
  <si>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</si>
  <si>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</si>
  <si>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</si>
  <si>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</si>
  <si>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</si>
  <si>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</si>
  <si>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</si>
  <si>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</si>
  <si>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</si>
  <si>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</si>
  <si>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</si>
  <si>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</si>
  <si>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</si>
  <si>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</si>
  <si>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</si>
  <si>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</si>
  <si>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</si>
  <si>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</si>
  <si>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</si>
  <si>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</si>
  <si>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</si>
  <si>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</si>
  <si>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</si>
  <si>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</si>
  <si>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</si>
  <si>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</si>
  <si>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</si>
  <si>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</si>
  <si>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</si>
  <si>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</si>
  <si>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</si>
  <si>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</si>
  <si>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</si>
  <si>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</si>
  <si>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</si>
  <si>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</si>
  <si>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</si>
  <si>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</si>
  <si>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</si>
  <si>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</si>
  <si>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</si>
  <si>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</si>
  <si>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</si>
  <si>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</si>
  <si>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</si>
  <si>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</si>
  <si>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</si>
  <si>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</si>
  <si>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</si>
  <si>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</si>
  <si>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</si>
  <si>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</si>
  <si>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</si>
  <si>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</si>
  <si>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</si>
  <si>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</si>
  <si>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</si>
  <si>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</si>
  <si>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</si>
  <si>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</si>
  <si>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</si>
  <si>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</si>
  <si>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</si>
  <si>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</si>
  <si>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</si>
  <si>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</si>
  <si>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</si>
  <si>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</si>
  <si>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</si>
  <si>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</si>
  <si>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</si>
  <si>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</si>
  <si>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</si>
  <si>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</si>
  <si>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</si>
  <si>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</si>
  <si>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</si>
  <si>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</si>
  <si>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</si>
  <si>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</si>
  <si>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</si>
  <si>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</si>
  <si>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</si>
  <si>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RED AND GREY PRINT - "QLD GASKETS - THE CUTTING SPECIALISTS"</t>
  </si>
  <si>
    <t>RUN AT 140um</t>
  </si>
  <si>
    <t>ABL</t>
  </si>
  <si>
    <t>SOLID WHITE - MUST BE GOOD PRINT - NEW PRINT PLATES</t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</si>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</sst>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T400150PWH</v>
      </c>
      <c r="C1" s="100"/>
      <c r="D1" s="101"/>
      <c r="E1" s="10" t="s">
        <v>55</v>
      </c>
      <c r="F1" s="45" t="s">
        <v>166</v>
      </c>
      <c r="G1" s="45"/>
      <c r="H1" s="46"/>
      <c r="I1" s="10" t="s">
        <v>147</v>
      </c>
      <c r="J1" s="111">
        <f ca="1">TODAY()</f>
        <v>45511</v>
      </c>
      <c r="K1" s="111"/>
      <c r="L1" s="112"/>
    </row>
    <row r="2" spans="1:14" ht="20.100000000000001" customHeight="1" x14ac:dyDescent="0.25">
      <c r="A2" s="10" t="s">
        <v>94</v>
      </c>
      <c r="B2" s="91" t="str">
        <f>IF(B7="Tube",(ROUNDUP(E11,0)&amp;"KG"),(ROUNDUP(H11,0)&amp;"M"))</f>
        <v>11KG</v>
      </c>
      <c r="C2" s="91"/>
      <c r="D2" s="92"/>
      <c r="E2" s="10" t="s">
        <v>56</v>
      </c>
      <c r="F2" s="45">
        <v>948213</v>
      </c>
      <c r="G2" s="45"/>
      <c r="H2" s="46"/>
      <c r="I2" s="10" t="s">
        <v>57</v>
      </c>
      <c r="J2" s="113">
        <v>45509</v>
      </c>
      <c r="K2" s="45"/>
      <c r="L2" s="46"/>
    </row>
    <row r="3" spans="1:14" ht="20.100000000000001" customHeight="1" x14ac:dyDescent="0.25">
      <c r="A3" s="102" t="s">
        <v>167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157</v>
      </c>
      <c r="B7" s="45" t="s">
        <v>158</v>
      </c>
      <c r="C7" s="46"/>
      <c r="D7" s="10" t="s">
        <v>47</v>
      </c>
      <c r="E7" s="44" t="s">
        <v>123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1" t="s">
        <v>14</v>
      </c>
      <c r="B8" s="67">
        <v>400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50</v>
      </c>
      <c r="H8" s="67">
        <v>150</v>
      </c>
      <c r="I8" s="68"/>
      <c r="J8" s="10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46</v>
      </c>
      <c r="B9" s="83" t="s">
        <v>163</v>
      </c>
      <c r="C9" s="84"/>
      <c r="D9" s="115" t="str">
        <f>IF(K10="Middle","RUN 2 UP",IF(AND(B7="Cont Centrefold",B8=380),"RUN 2 UP",""))</f>
        <v/>
      </c>
      <c r="E9" s="116"/>
      <c r="F9" s="117"/>
      <c r="G9" s="12" t="s">
        <v>46</v>
      </c>
      <c r="H9" s="83" t="s">
        <v>165</v>
      </c>
      <c r="I9" s="84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4</v>
      </c>
      <c r="C10" s="46"/>
      <c r="D10" s="35" t="s">
        <v>104</v>
      </c>
      <c r="E10" s="87">
        <f>E11*B10</f>
        <v>44</v>
      </c>
      <c r="F10" s="88"/>
      <c r="G10" s="10" t="s">
        <v>51</v>
      </c>
      <c r="H10" s="91">
        <f>H11*B10</f>
        <v>396</v>
      </c>
      <c r="I10" s="92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105</v>
      </c>
      <c r="E11" s="89">
        <v>11</v>
      </c>
      <c r="F11" s="90"/>
      <c r="G11" s="41" t="s">
        <v>13</v>
      </c>
      <c r="H11" s="93">
        <f>E11*540000/B8/H8</f>
        <v>99</v>
      </c>
      <c r="I11" s="94"/>
      <c r="J11" s="41" t="s">
        <v>48</v>
      </c>
      <c r="K11" s="98" t="s">
        <v>63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69</v>
      </c>
      <c r="C13" s="45"/>
      <c r="D13" s="46"/>
      <c r="E13" s="13" t="s">
        <v>60</v>
      </c>
      <c r="F13" s="45" t="s">
        <v>65</v>
      </c>
      <c r="G13" s="45"/>
      <c r="H13" s="46"/>
      <c r="I13" s="10" t="s">
        <v>61</v>
      </c>
      <c r="J13" s="45" t="s">
        <v>119</v>
      </c>
      <c r="K13" s="45"/>
      <c r="L13" s="46"/>
    </row>
    <row r="14" spans="1:14" ht="20.100000000000001" customHeight="1" x14ac:dyDescent="0.3">
      <c r="A14" s="11" t="s">
        <v>58</v>
      </c>
      <c r="B14" s="44" t="s">
        <v>164</v>
      </c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0">
        <f>B10</f>
        <v>4</v>
      </c>
      <c r="G16" s="100"/>
      <c r="H16" s="101"/>
      <c r="I16" s="10" t="s">
        <v>74</v>
      </c>
      <c r="J16" s="45"/>
      <c r="K16" s="45"/>
      <c r="L16" s="46"/>
    </row>
    <row r="17" spans="1:12" ht="20.100000000000001" customHeight="1" x14ac:dyDescent="0.25">
      <c r="A17" s="72" t="s">
        <v>148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149</v>
      </c>
      <c r="B23" s="77"/>
      <c r="C23" s="56" t="s">
        <v>150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>WHITE</v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WH</v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7"/>
      <c r="B25" s="77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7"/>
      <c r="E25" s="58" t="s">
        <v>168</v>
      </c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18" t="s">
        <v>103</v>
      </c>
      <c r="H27" s="118"/>
      <c r="I27" s="118" t="s">
        <v>102</v>
      </c>
      <c r="J27" s="118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169</v>
      </c>
      <c r="C28" s="6"/>
      <c r="D28" s="120">
        <v>20.8</v>
      </c>
      <c r="E28" s="121">
        <v>2.9</v>
      </c>
      <c r="F28" s="6"/>
      <c r="G28" s="114"/>
      <c r="H28" s="114"/>
      <c r="I28" s="114"/>
      <c r="J28" s="11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4"/>
      <c r="H29" s="114"/>
      <c r="I29" s="114"/>
      <c r="J29" s="114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45542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45532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3E4846F-0998-423A-85FA-75D6A05FE92E}"/>
</file>

<file path=customXml/itemProps2.xml><?xml version="1.0" encoding="utf-8"?>
<ds:datastoreItem xmlns:ds="http://schemas.openxmlformats.org/officeDocument/2006/customXml" ds:itemID="{0B52BD24-CFD3-40CB-857D-00EEDC3AF8E0}"/>
</file>

<file path=customXml/itemProps3.xml><?xml version="1.0" encoding="utf-8"?>
<ds:datastoreItem xmlns:ds="http://schemas.openxmlformats.org/officeDocument/2006/customXml" ds:itemID="{0B9D84EB-0B9A-42F0-9146-CD984EDCD5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2024-07-15T01:01:15Z</cp:lastPrinted>
  <dcterms:created xsi:type="dcterms:W3CDTF">2019-11-27T23:28:06Z</dcterms:created>
  <dcterms:modified xsi:type="dcterms:W3CDTF">2024-08-07T01:50:07Z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