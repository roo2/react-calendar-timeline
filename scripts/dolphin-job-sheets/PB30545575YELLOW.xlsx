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5641F6C-3BCF-4751-8E7D-0736B2CDE398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<sst xmlns="http://schemas.openxmlformats.org/spreadsheetml/2006/main" count="302" uniqueCount="198">
  <si>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</si>
  <si>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</si>
  <si>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</si>
  <si>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</si>
  <si>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</si>
  <si>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</si>
  <si>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</si>
  <si>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</si>
  <si>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</si>
  <si>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</si>
  <si>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</si>
  <si>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</si>
  <si>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</si>
  <si>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</si>
  <si>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</si>
  <si>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</si>
  <si>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</si>
  <si>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</si>
  <si>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</si>
  <si>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</si>
  <si>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</si>
  <si>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</si>
  <si>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</si>
  <si>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</si>
  <si>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</si>
  <si>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</si>
  <si>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</si>
  <si>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</si>
  <si>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</si>
  <si>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</si>
  <si>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</si>
  <si>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</si>
  <si>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</si>
  <si>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</si>
  <si>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</si>
  <si>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</si>
  <si>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</si>
  <si>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</si>
  <si>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</si>
  <si>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</si>
  <si>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</si>
  <si>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</si>
  <si>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</si>
  <si>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</si>
  <si>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</si>
  <si>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</si>
  <si>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</si>
  <si>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</si>
  <si>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</si>
  <si>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</si>
  <si>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</si>
  <si>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</si>
  <si>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</si>
  <si>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</si>
  <si>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</si>
  <si>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</si>
  <si>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</si>
  <si>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</si>
  <si>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</si>
  <si>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</si>
  <si>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</si>
  <si>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</si>
  <si>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</si>
  <si>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</si>
  <si>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</si>
  <si>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</si>
  <si>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</si>
  <si>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</si>
  <si>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</si>
  <si>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</si>
  <si>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</si>
  <si>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</si>
  <si>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</si>
  <si>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</si>
  <si>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</si>
  <si>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</si>
  <si>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</si>
  <si>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</si>
  <si>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</si>
  <si>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</si>
  <si>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</si>
  <si>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</si>
  <si>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</si>
  <si>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</si>
  <si>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</si>
  <si>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</si>
  <si>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</si>
  <si>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</si>
  <si>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</si>
  <si>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</si>
  <si>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</si>
  <si>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</si>
  <si>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</si>
  <si>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</si>
  <si>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</si>
  <si>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</si>
  <si>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</si>
  <si>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</si>
  <si>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</si>
  <si>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</si>
  <si>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</si>
  <si>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</si>
  <si>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</si>
  <si>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</si>
  <si>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</si>
  <si>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</si>
  <si>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</si>
  <si>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</si>
  <si>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</si>
  <si>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</si>
  <si>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</si>
  <si>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</si>
  <si>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</si>
  <si>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</si>
  <si>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</si>
  <si>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</si>
  <si>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</si>
  <si>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</si>
  <si>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</si>
  <si>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</si>
  <si>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</si>
  <si>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</si>
  <si>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</si>
  <si>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</si>
  <si>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</si>
  <si>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</si>
  <si>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</si>
  <si>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</si>
  <si>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</si>
  <si>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</si>
  <si>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</si>
  <si>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</si>
  <si>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</si>
  <si>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</si>
  <si>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</si>
  <si>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</si>
  <si>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</si>
  <si>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</si>
  <si>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</si>
  <si>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</si>
  <si>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</si>
  <si>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</si>
  <si>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</si>
  <si>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</si>
  <si>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</si>
  <si>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</si>
  <si>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</si>
  <si>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</si>
  <si>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</si>
  <si>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</si>
  <si>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</si>
  <si>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</si>
  <si>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</si>
  <si>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</si>
  <si>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</si>
  <si>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</si>
  <si>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</si>
  <si>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</si>
  <si>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</si>
  <si>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</si>
  <si>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</si>
  <si>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</si>
  <si>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</si>
  <si>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</si>
  <si>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</si>
  <si>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</si>
  <si>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</si>
  <si>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</si>
  <si>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</si>
  <si>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</si>
  <si>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</si>
  <si>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</si>
  <si>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</si>
  <si>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</si>
  <si>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</si>
  <si>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</si>
  <si>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</si>
  <si>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</si>
  <si>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</si>
  <si>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</si>
  <si>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</si>
  <si>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</si>
  <si>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</si>
  <si>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</si>
  <si>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</si>
  <si>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</si>
  <si>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</si>
  <si>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</si>
  <si>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</si>
  <si>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</si>
  <si>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</si>
  <si>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</si>
  <si>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</si>
  <si>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</si>
  <si>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</si>
  <si>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LIMAX</t>
  </si>
  <si>
    <t xml:space="preserve">  - MUST HAVE STRONG SEALS AND NOT OVER GUAGE</t>
  </si>
  <si>
    <t>BLACKWOODS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</si>
</sst>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PB285400120</v>
      </c>
      <c r="C1" s="108"/>
      <c r="D1" s="109"/>
      <c r="E1" s="11" t="s">
        <v>57</v>
      </c>
      <c r="F1" s="62" t="s">
        <v>197</v>
      </c>
      <c r="G1" s="62"/>
      <c r="H1" s="63"/>
      <c r="I1" s="12" t="s">
        <v>181</v>
      </c>
      <c r="J1" s="119">
        <f ca="1">TODAY()</f>
        <v>45887</v>
      </c>
      <c r="K1" s="119"/>
      <c r="L1" s="120"/>
      <c r="M1" s="29"/>
      <c r="N1" s="11" t="s">
        <v>56</v>
      </c>
      <c r="O1" s="108" t="str">
        <f>B1</f>
        <v>PB285400120</v>
      </c>
      <c r="P1" s="108"/>
      <c r="Q1" s="109"/>
      <c r="R1" s="11" t="s">
        <v>57</v>
      </c>
      <c r="S1" s="108" t="str">
        <f>F1</f>
        <v>BLACKWOODS</v>
      </c>
      <c r="T1" s="108"/>
      <c r="U1" s="109"/>
      <c r="V1" s="11" t="s">
        <v>181</v>
      </c>
      <c r="W1" s="119">
        <f ca="1">J1</f>
        <v>45887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950384</v>
      </c>
      <c r="G2" s="62"/>
      <c r="H2" s="63"/>
      <c r="I2" s="11" t="s">
        <v>59</v>
      </c>
      <c r="J2" s="122">
        <v>45908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950384</v>
      </c>
      <c r="T2" s="108"/>
      <c r="U2" s="109"/>
      <c r="V2" s="11" t="s">
        <v>59</v>
      </c>
      <c r="W2" s="121">
        <f>J2</f>
        <v>45908</v>
      </c>
      <c r="X2" s="108"/>
      <c r="Y2" s="109"/>
    </row>
    <row r="3" spans="1:25" ht="20.149999999999999" customHeight="1" x14ac:dyDescent="0.75">
      <c r="A3" s="110" t="s">
        <v>196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 xml:space="preserve">  - MUST HAVE STRONG SEALS AND NOT OVER GUAGE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5</v>
      </c>
      <c r="P7" s="63"/>
      <c r="Q7" s="11" t="str">
        <f>IF(ISNUMBER(SEARCH("roll",O8,1)),"Per Roll","Per Carton")</f>
        <v>Per Carton</v>
      </c>
      <c r="R7" s="62">
        <v>500</v>
      </c>
      <c r="S7" s="63"/>
      <c r="T7" s="11" t="str">
        <f>IF(ISNUMBER(SEARCH("bag",O8,1)),"Total Bags","Total Sheets")</f>
        <v>Total Bags</v>
      </c>
      <c r="U7" s="108">
        <f>R7*O7</f>
        <v>2500</v>
      </c>
      <c r="V7" s="109"/>
      <c r="W7" s="11" t="s">
        <v>102</v>
      </c>
      <c r="X7" s="62" t="s">
        <v>31</v>
      </c>
      <c r="Y7" s="63"/>
    </row>
    <row r="8" spans="1:25" ht="20.149999999999999" customHeight="1" x14ac:dyDescent="0.8">
      <c r="A8" s="13" t="s">
        <v>16</v>
      </c>
      <c r="B8" s="96">
        <f>R9</f>
        <v>285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120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5" t="s">
        <v>193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193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285</v>
      </c>
      <c r="S9" s="18" t="s">
        <v>78</v>
      </c>
      <c r="T9" s="30">
        <v>400</v>
      </c>
      <c r="U9" s="18" t="s">
        <v>78</v>
      </c>
      <c r="V9" s="30">
        <v>120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3</v>
      </c>
      <c r="C10" s="63"/>
      <c r="D10" s="47" t="s">
        <v>134</v>
      </c>
      <c r="E10" s="127">
        <f>IF(ISNUMBER(SEARCH("sheet",O8,1)),((R9*T9*H8/540000)*U7/2000*1.3),((R9*T9*H8/540000)*U7/1000*1.08))</f>
        <v>68.400000000000006</v>
      </c>
      <c r="F10" s="128"/>
      <c r="G10" s="11" t="s">
        <v>53</v>
      </c>
      <c r="H10" s="131">
        <f>IF(ISNUMBER(SEARCH("sheet",O8,1)),(U7*T9/2000*1.08),(U7*T9/1000*1.08))</f>
        <v>1080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22.8</v>
      </c>
      <c r="F11" s="130"/>
      <c r="G11" s="11" t="s">
        <v>15</v>
      </c>
      <c r="H11" s="129">
        <f>H10/B10</f>
        <v>360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6" t="s">
        <v>4</v>
      </c>
      <c r="F16" s="146"/>
      <c r="G16" s="146" t="s">
        <v>5</v>
      </c>
      <c r="H16" s="146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110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7"/>
      <c r="B23" s="147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8"/>
      <c r="B24" s="149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195</v>
      </c>
      <c r="P25" s="34"/>
      <c r="Q25" s="10">
        <v>24</v>
      </c>
      <c r="R25" s="10"/>
      <c r="S25" s="10"/>
      <c r="T25" s="10"/>
      <c r="U25" s="10"/>
      <c r="V25" s="10"/>
      <c r="W25" s="10">
        <v>16</v>
      </c>
      <c r="X25" s="10">
        <v>13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34" t="s">
        <v>116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6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37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9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2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3" t="s">
        <v>136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5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errorStyle="warning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45918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45908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194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D3E29EA-F41C-4840-9F63-5B79C114BC8E}"/>
</file>

<file path=customXml/itemProps2.xml><?xml version="1.0" encoding="utf-8"?>
<ds:datastoreItem xmlns:ds="http://schemas.openxmlformats.org/officeDocument/2006/customXml" ds:itemID="{3F66D45C-C63D-4D6C-B62C-C179DCD82302}"/>
</file>

<file path=customXml/itemProps3.xml><?xml version="1.0" encoding="utf-8"?>
<ds:datastoreItem xmlns:ds="http://schemas.openxmlformats.org/officeDocument/2006/customXml" ds:itemID="{2562E3C1-7197-452C-A043-095504B89A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2025-08-18T02:42:55Z</cp:lastPrinted>
  <dcterms:created xsi:type="dcterms:W3CDTF">2019-11-27T23:28:06Z</dcterms:created>
  <dcterms:modified xsi:type="dcterms:W3CDTF">2025-08-25T01:42:13Z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