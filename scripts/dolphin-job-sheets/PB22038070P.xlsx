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772635C-6B27-4742-942C-F9F9085E3B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<sst xmlns="http://schemas.openxmlformats.org/spreadsheetml/2006/main" count="306" uniqueCount="202">
  <si>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</si>
  <si>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</si>
  <si>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</si>
  <si>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</si>
  <si>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</si>
  <si>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</si>
  <si>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</si>
  <si>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</si>
  <si>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</si>
  <si>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</si>
  <si>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</si>
  <si>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</si>
  <si>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</si>
  <si>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</si>
  <si>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</si>
  <si>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</si>
  <si>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</si>
  <si>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</si>
  <si>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</si>
  <si>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</si>
  <si>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</si>
  <si>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</si>
  <si>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</si>
  <si>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</si>
  <si>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</si>
  <si>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</si>
  <si>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</si>
  <si>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</si>
  <si>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</si>
  <si>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</si>
  <si>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</si>
  <si>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</si>
  <si>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</si>
  <si>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</si>
  <si>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</si>
  <si>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</si>
  <si>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</si>
  <si>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</si>
  <si>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</si>
  <si>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</si>
  <si>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</si>
  <si>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</si>
  <si>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</si>
  <si>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</si>
  <si>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</si>
  <si>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</si>
  <si>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</si>
  <si>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</si>
  <si>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</si>
  <si>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</si>
  <si>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</si>
  <si>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</si>
  <si>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</si>
  <si>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</si>
  <si>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</si>
  <si>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</si>
  <si>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</si>
  <si>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</si>
  <si>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</si>
  <si>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</si>
  <si>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</si>
  <si>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</si>
  <si>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</si>
  <si>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</si>
  <si>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</si>
  <si>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</si>
  <si>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</si>
  <si>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</si>
  <si>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</si>
  <si>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</si>
  <si>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</si>
  <si>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</si>
  <si>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</si>
  <si>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</si>
  <si>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</si>
  <si>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</si>
  <si>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</si>
  <si>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</si>
  <si>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</si>
  <si>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</si>
  <si>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</si>
  <si>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</si>
  <si>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</si>
  <si>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</si>
  <si>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</si>
  <si>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</si>
  <si>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</si>
  <si>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</si>
  <si>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</si>
  <si>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</si>
  <si>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</si>
  <si>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</si>
  <si>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</si>
  <si>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</si>
  <si>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</si>
  <si>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</si>
  <si>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</si>
  <si>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</si>
  <si>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</si>
  <si>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</si>
  <si>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</si>
  <si>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</si>
  <si>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</si>
  <si>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</si>
  <si>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</si>
  <si>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</si>
  <si>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</si>
  <si>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</si>
  <si>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</si>
  <si>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</si>
  <si>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</si>
  <si>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</si>
  <si>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</si>
  <si>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</si>
  <si>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</si>
  <si>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</si>
  <si>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</si>
  <si>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</si>
  <si>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</si>
  <si>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</si>
  <si>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</si>
  <si>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</si>
  <si>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</si>
  <si>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</si>
  <si>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</si>
  <si>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</si>
  <si>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</si>
  <si>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</si>
  <si>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</si>
  <si>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</si>
  <si>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</si>
  <si>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</si>
  <si>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</si>
  <si>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</si>
  <si>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</si>
  <si>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</si>
  <si>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</si>
  <si>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</si>
  <si>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</si>
  <si>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</si>
  <si>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</si>
  <si>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</si>
  <si>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</si>
  <si>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</si>
  <si>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</si>
  <si>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</si>
  <si>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</si>
  <si>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</si>
  <si>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</si>
  <si>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</si>
  <si>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</si>
  <si>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</si>
  <si>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</si>
  <si>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</si>
  <si>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</si>
  <si>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</si>
  <si>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</si>
  <si>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</si>
  <si>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</si>
  <si>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</si>
  <si>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</si>
  <si>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</si>
  <si>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</si>
  <si>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</si>
  <si>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</si>
  <si>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</si>
  <si>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</si>
  <si>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</si>
  <si>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</si>
  <si>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</si>
  <si>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</si>
  <si>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</si>
  <si>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</si>
  <si>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</si>
  <si>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</si>
  <si>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</si>
  <si>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</si>
  <si>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</si>
  <si>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</si>
  <si>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</si>
  <si>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</si>
  <si>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</si>
  <si>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</si>
  <si>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</si>
  <si>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</si>
  <si>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</si>
  <si>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</si>
  <si>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</si>
  <si>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</si>
  <si>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</si>
  <si>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</si>
  <si>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</si>
  <si>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</si>
  <si>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</si>
  <si>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</si>
  <si>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PORTRAIT PATCH</t>
  </si>
  <si>
    <t>"PORTRAIT PATCH" PRINT PLATES AS PER USUAL RUN STANDARD</t>
  </si>
  <si>
    <t>LIMAX</t>
  </si>
  <si>
    <t>MUST BE GOOD PRINT AND GOOD CLARITY  ENSURE BAG IS TREATED!! SAMPLE BAG PROVIDED TRY TO MATCH RESIN BLEND PLEASE!!!!</t>
  </si>
  <si>
    <t>NOT OVER</t>
  </si>
  <si>
    <t>1C/2S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</si>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</sst>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23" sqref="A23:B23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7" t="str">
        <f>O9&amp;R9&amp;IF(X8="G","G","")&amp;IF(O8="Centrefold Roll","("&amp;E8&amp;")","")&amp;T9&amp;V9&amp;C22&amp;C23&amp;C24&amp;O11&amp;R11</f>
        <v>PB220380700P</v>
      </c>
      <c r="C1" s="107"/>
      <c r="D1" s="108"/>
      <c r="E1" s="10" t="s">
        <v>57</v>
      </c>
      <c r="F1" s="61" t="s">
        <v>195</v>
      </c>
      <c r="G1" s="61"/>
      <c r="H1" s="62"/>
      <c r="I1" s="11" t="s">
        <v>181</v>
      </c>
      <c r="J1" s="127">
        <f ca="1">TODAY()</f>
        <v>45593</v>
      </c>
      <c r="K1" s="127"/>
      <c r="L1" s="128"/>
      <c r="M1" s="28"/>
      <c r="N1" s="10" t="s">
        <v>56</v>
      </c>
      <c r="O1" s="107" t="str">
        <f>B1</f>
        <v>PB220380700P</v>
      </c>
      <c r="P1" s="107"/>
      <c r="Q1" s="108"/>
      <c r="R1" s="10" t="s">
        <v>57</v>
      </c>
      <c r="S1" s="107" t="str">
        <f>F1</f>
        <v>PORTRAIT PATCH</v>
      </c>
      <c r="T1" s="107"/>
      <c r="U1" s="108"/>
      <c r="V1" s="10" t="s">
        <v>181</v>
      </c>
      <c r="W1" s="127">
        <f ca="1">J1</f>
        <v>45593</v>
      </c>
      <c r="X1" s="127"/>
      <c r="Y1" s="128"/>
    </row>
    <row r="2" spans="1:25" ht="20.100000000000001" customHeight="1" x14ac:dyDescent="0.25">
      <c r="A2" s="10" t="s">
        <v>100</v>
      </c>
      <c r="B2" s="107" t="str">
        <f>IF(U10="","",U10)</f>
        <v>1C/2S</v>
      </c>
      <c r="C2" s="107"/>
      <c r="D2" s="108"/>
      <c r="E2" s="10" t="s">
        <v>58</v>
      </c>
      <c r="F2" s="61">
        <v>942996</v>
      </c>
      <c r="G2" s="61"/>
      <c r="H2" s="62"/>
      <c r="I2" s="10" t="s">
        <v>59</v>
      </c>
      <c r="J2" s="130">
        <v>44681</v>
      </c>
      <c r="K2" s="61"/>
      <c r="L2" s="62"/>
      <c r="M2" s="28"/>
      <c r="N2" s="10" t="s">
        <v>100</v>
      </c>
      <c r="O2" s="107" t="str">
        <f>IF(B2="","",B2)</f>
        <v>1C/2S</v>
      </c>
      <c r="P2" s="107"/>
      <c r="Q2" s="108"/>
      <c r="R2" s="10" t="s">
        <v>58</v>
      </c>
      <c r="S2" s="107">
        <f>IF(F2="","",F2)</f>
        <v>942996</v>
      </c>
      <c r="T2" s="107"/>
      <c r="U2" s="108"/>
      <c r="V2" s="10" t="s">
        <v>59</v>
      </c>
      <c r="W2" s="129">
        <f>J2</f>
        <v>44681</v>
      </c>
      <c r="X2" s="107"/>
      <c r="Y2" s="108"/>
    </row>
    <row r="3" spans="1:25" ht="20.100000000000001" customHeight="1" x14ac:dyDescent="0.25">
      <c r="A3" s="109" t="s">
        <v>198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8"/>
      <c r="N3" s="118" t="str">
        <f>A3</f>
        <v>MUST BE GOOD PRINT AND GOOD CLARITY  ENSURE BAG IS TREATED!! SAMPLE BAG PROVIDED TRY TO MATCH RESIN BLEND PLEASE!!!!</v>
      </c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20"/>
    </row>
    <row r="4" spans="1:25" ht="20.100000000000001" customHeight="1" x14ac:dyDescent="0.2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8"/>
      <c r="N4" s="121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3"/>
    </row>
    <row r="5" spans="1:25" ht="20.100000000000001" customHeight="1" x14ac:dyDescent="0.2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8"/>
      <c r="N5" s="124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6"/>
    </row>
    <row r="6" spans="1:25" ht="20.100000000000001" customHeight="1" x14ac:dyDescent="0.25">
      <c r="A6" s="131" t="s">
        <v>2</v>
      </c>
      <c r="B6" s="132"/>
      <c r="C6" s="132"/>
      <c r="D6" s="132"/>
      <c r="E6" s="132"/>
      <c r="F6" s="132"/>
      <c r="G6" s="132"/>
      <c r="H6" s="132"/>
      <c r="I6" s="132"/>
      <c r="J6" s="69"/>
      <c r="K6" s="69"/>
      <c r="L6" s="70"/>
      <c r="M6" s="28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00000000000001" customHeight="1" x14ac:dyDescent="0.3">
      <c r="A7" s="10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8"/>
      <c r="N7" s="10" t="str">
        <f>IF(ISNUMBER(SEARCH("roll",O8,1)),"No. Rolls","No. Cartons")</f>
        <v>No. Cartons</v>
      </c>
      <c r="O7" s="61">
        <v>10</v>
      </c>
      <c r="P7" s="62"/>
      <c r="Q7" s="10" t="str">
        <f>IF(ISNUMBER(SEARCH("roll",O8,1)),"Per Roll","Per Carton")</f>
        <v>Per Carton</v>
      </c>
      <c r="R7" s="61">
        <v>1000</v>
      </c>
      <c r="S7" s="62"/>
      <c r="T7" s="10" t="str">
        <f>IF(ISNUMBER(SEARCH("bag",O8,1)),"Total Bags","Total Sheets")</f>
        <v>Total Bags</v>
      </c>
      <c r="U7" s="107">
        <f>R7*O7</f>
        <v>10000</v>
      </c>
      <c r="V7" s="108"/>
      <c r="W7" s="10" t="s">
        <v>102</v>
      </c>
      <c r="X7" s="61" t="s">
        <v>23</v>
      </c>
      <c r="Y7" s="62"/>
    </row>
    <row r="8" spans="1:25" ht="20.100000000000001" customHeight="1" x14ac:dyDescent="0.25">
      <c r="A8" s="12" t="s">
        <v>16</v>
      </c>
      <c r="B8" s="95">
        <f>R9</f>
        <v>220</v>
      </c>
      <c r="C8" s="96"/>
      <c r="D8" s="26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2" t="s">
        <v>52</v>
      </c>
      <c r="H8" s="95">
        <f>(IF(V9&lt;30,"30",V9))</f>
        <v>70</v>
      </c>
      <c r="I8" s="96"/>
      <c r="J8" s="10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8"/>
      <c r="N8" s="13" t="s">
        <v>54</v>
      </c>
      <c r="O8" s="97" t="s">
        <v>164</v>
      </c>
      <c r="P8" s="98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00000000000001" customHeight="1" x14ac:dyDescent="0.3">
      <c r="A9" s="15" t="s">
        <v>48</v>
      </c>
      <c r="B9" s="133" t="s">
        <v>193</v>
      </c>
      <c r="C9" s="134"/>
      <c r="D9" s="141" t="str">
        <f>IF(K10="Middle","RUN 2 UP",IF(AND(O8="Centrefold Roll",B8=380),"RUN 2 UP",""))</f>
        <v/>
      </c>
      <c r="E9" s="99"/>
      <c r="F9" s="100"/>
      <c r="G9" s="15" t="s">
        <v>48</v>
      </c>
      <c r="H9" s="133" t="s">
        <v>199</v>
      </c>
      <c r="I9" s="134"/>
      <c r="J9" s="10" t="s">
        <v>55</v>
      </c>
      <c r="K9" s="61" t="s">
        <v>30</v>
      </c>
      <c r="L9" s="62"/>
      <c r="M9" s="28"/>
      <c r="N9" s="16"/>
      <c r="O9" s="101" t="str">
        <f>IF(O8="Poly Bag","PB",IF(O8="Poly Bag Roll","PBR",IF(O8="Centrefold Roll","CFR",IF(O8="Sheet","S",IF(O8="Sheet Roll","SR")))))</f>
        <v>PB</v>
      </c>
      <c r="P9" s="102"/>
      <c r="Q9" s="16"/>
      <c r="R9" s="29">
        <v>220</v>
      </c>
      <c r="S9" s="17" t="s">
        <v>78</v>
      </c>
      <c r="T9" s="29">
        <v>380</v>
      </c>
      <c r="U9" s="17" t="s">
        <v>78</v>
      </c>
      <c r="V9" s="29">
        <v>70</v>
      </c>
      <c r="W9" s="16"/>
      <c r="X9" s="87"/>
      <c r="Y9" s="88"/>
    </row>
    <row r="10" spans="1:25" ht="20.100000000000001" customHeight="1" x14ac:dyDescent="0.25">
      <c r="A10" s="10" t="s">
        <v>51</v>
      </c>
      <c r="B10" s="61">
        <v>7</v>
      </c>
      <c r="C10" s="62"/>
      <c r="D10" s="46" t="s">
        <v>134</v>
      </c>
      <c r="E10" s="135">
        <f>IF(ISNUMBER(SEARCH("sheet",O8,1)),((R9*T9*H8/540000)*U7/2000*1.3),((R9*T9*H8/540000)*U7/1000*1.08))</f>
        <v>117.04</v>
      </c>
      <c r="F10" s="136"/>
      <c r="G10" s="10" t="s">
        <v>53</v>
      </c>
      <c r="H10" s="139">
        <f>IF(ISNUMBER(SEARCH("sheet",O8,1)),(U7*T9/2000*1.08),(U7*T9/1000*1.08))</f>
        <v>4104</v>
      </c>
      <c r="I10" s="140"/>
      <c r="J10" s="10" t="s">
        <v>41</v>
      </c>
      <c r="K10" s="61" t="s">
        <v>44</v>
      </c>
      <c r="L10" s="62"/>
      <c r="M10" s="28"/>
      <c r="N10" s="13" t="s">
        <v>141</v>
      </c>
      <c r="O10" s="97" t="s">
        <v>44</v>
      </c>
      <c r="P10" s="98"/>
      <c r="Q10" s="13" t="s">
        <v>50</v>
      </c>
      <c r="R10" s="93" t="str">
        <f>IF(K11="NONE","None",IF(K11="INLINE","Yes",IF(K11="OUT OF LINE","Yes")))</f>
        <v>Yes</v>
      </c>
      <c r="S10" s="93"/>
      <c r="T10" s="13" t="s">
        <v>100</v>
      </c>
      <c r="U10" s="103" t="s">
        <v>200</v>
      </c>
      <c r="V10" s="103"/>
      <c r="W10" s="103"/>
      <c r="X10" s="103"/>
      <c r="Y10" s="104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10" t="s">
        <v>135</v>
      </c>
      <c r="E11" s="137">
        <f>E10/B10</f>
        <v>16.720000000000002</v>
      </c>
      <c r="F11" s="138"/>
      <c r="G11" s="10" t="s">
        <v>15</v>
      </c>
      <c r="H11" s="137">
        <f>H10/B10</f>
        <v>586.28571428571433</v>
      </c>
      <c r="I11" s="138"/>
      <c r="J11" s="10" t="s">
        <v>50</v>
      </c>
      <c r="K11" s="61" t="s">
        <v>64</v>
      </c>
      <c r="L11" s="62"/>
      <c r="M11" s="28"/>
      <c r="N11" s="12"/>
      <c r="O11" s="95" t="str">
        <f>IF(O10="NONE","","V")</f>
        <v/>
      </c>
      <c r="P11" s="96"/>
      <c r="Q11" s="12"/>
      <c r="R11" s="95" t="str">
        <f>IF(R10="None","","P")</f>
        <v>P</v>
      </c>
      <c r="S11" s="96"/>
      <c r="T11" s="12"/>
      <c r="U11" s="105"/>
      <c r="V11" s="105"/>
      <c r="W11" s="105"/>
      <c r="X11" s="105"/>
      <c r="Y11" s="106"/>
    </row>
    <row r="12" spans="1:25" ht="20.100000000000001" customHeight="1" x14ac:dyDescent="0.2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8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00000000000001" customHeight="1" x14ac:dyDescent="0.25">
      <c r="A13" s="10" t="s">
        <v>68</v>
      </c>
      <c r="B13" s="61" t="s">
        <v>69</v>
      </c>
      <c r="C13" s="61"/>
      <c r="D13" s="62"/>
      <c r="E13" s="18" t="s">
        <v>61</v>
      </c>
      <c r="F13" s="61" t="s">
        <v>67</v>
      </c>
      <c r="G13" s="61"/>
      <c r="H13" s="62"/>
      <c r="I13" s="10" t="s">
        <v>62</v>
      </c>
      <c r="J13" s="61" t="s">
        <v>150</v>
      </c>
      <c r="K13" s="61"/>
      <c r="L13" s="62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99" t="s">
        <v>196</v>
      </c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8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00000000000001" customHeight="1" x14ac:dyDescent="0.2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8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00000000000001" customHeight="1" x14ac:dyDescent="0.25">
      <c r="A16" s="65" t="s">
        <v>3</v>
      </c>
      <c r="B16" s="67"/>
      <c r="C16" s="65" t="s">
        <v>142</v>
      </c>
      <c r="D16" s="67"/>
      <c r="E16" s="145" t="s">
        <v>4</v>
      </c>
      <c r="F16" s="145"/>
      <c r="G16" s="145" t="s">
        <v>5</v>
      </c>
      <c r="H16" s="145"/>
      <c r="I16" s="66" t="s">
        <v>11</v>
      </c>
      <c r="J16" s="67"/>
      <c r="K16" s="66" t="s">
        <v>12</v>
      </c>
      <c r="L16" s="67"/>
      <c r="M16" s="28"/>
      <c r="N16" s="10" t="s">
        <v>28</v>
      </c>
      <c r="O16" s="61">
        <v>130</v>
      </c>
      <c r="P16" s="62"/>
      <c r="Q16" s="10" t="s">
        <v>105</v>
      </c>
      <c r="R16" s="61" t="s">
        <v>23</v>
      </c>
      <c r="S16" s="62"/>
      <c r="T16" s="11" t="s">
        <v>103</v>
      </c>
      <c r="U16" s="61" t="s">
        <v>31</v>
      </c>
      <c r="V16" s="62"/>
      <c r="W16" s="10" t="str">
        <f>IF(ISNUMBER(SEARCH("bag",O8,1)),"Total Bags","Total Sheets")</f>
        <v>Total Bags</v>
      </c>
      <c r="X16" s="63"/>
      <c r="Y16" s="64"/>
    </row>
    <row r="17" spans="1:25" ht="20.100000000000001" customHeight="1" x14ac:dyDescent="0.25">
      <c r="A17" s="60" t="s">
        <v>6</v>
      </c>
      <c r="B17" s="60"/>
      <c r="C17" s="91" t="s">
        <v>147</v>
      </c>
      <c r="D17" s="92"/>
      <c r="E17" s="58"/>
      <c r="F17" s="59"/>
      <c r="G17" s="47" t="s">
        <v>81</v>
      </c>
      <c r="H17" s="31"/>
      <c r="I17" s="58"/>
      <c r="J17" s="59"/>
      <c r="K17" s="58"/>
      <c r="L17" s="59"/>
      <c r="M17" s="28"/>
      <c r="N17" s="10" t="s">
        <v>26</v>
      </c>
      <c r="O17" s="61" t="s">
        <v>35</v>
      </c>
      <c r="P17" s="62"/>
      <c r="Q17" s="10" t="s">
        <v>104</v>
      </c>
      <c r="R17" s="61" t="s">
        <v>31</v>
      </c>
      <c r="S17" s="62"/>
      <c r="T17" s="11" t="str">
        <f>IF(ISNUMBER(SEARCH("roll",O8,1)),"Part Rolls","Part Ctns")</f>
        <v>Part Ctns</v>
      </c>
      <c r="U17" s="61" t="s">
        <v>31</v>
      </c>
      <c r="V17" s="62"/>
      <c r="W17" s="10" t="str">
        <f>IF(ISNUMBER(SEARCH("roll",O8,1)),"Total Rolls","Total Ctns")</f>
        <v>Total Ctns</v>
      </c>
      <c r="X17" s="63"/>
      <c r="Y17" s="64"/>
    </row>
    <row r="18" spans="1:25" ht="20.100000000000001" customHeight="1" x14ac:dyDescent="0.25">
      <c r="A18" s="60" t="s">
        <v>7</v>
      </c>
      <c r="B18" s="60"/>
      <c r="C18" s="91" t="s">
        <v>146</v>
      </c>
      <c r="D18" s="92"/>
      <c r="E18" s="58"/>
      <c r="F18" s="59"/>
      <c r="G18" s="47" t="s">
        <v>82</v>
      </c>
      <c r="H18" s="31"/>
      <c r="I18" s="58"/>
      <c r="J18" s="59"/>
      <c r="K18" s="58"/>
      <c r="L18" s="59"/>
      <c r="M18" s="28"/>
      <c r="N18" s="10" t="s">
        <v>101</v>
      </c>
      <c r="O18" s="61" t="s">
        <v>38</v>
      </c>
      <c r="P18" s="62"/>
      <c r="Q18" s="10" t="s">
        <v>106</v>
      </c>
      <c r="R18" s="61" t="s">
        <v>31</v>
      </c>
      <c r="S18" s="62"/>
      <c r="T18" s="20" t="s">
        <v>27</v>
      </c>
      <c r="U18" s="61" t="s">
        <v>36</v>
      </c>
      <c r="V18" s="62"/>
      <c r="W18" s="10" t="s">
        <v>109</v>
      </c>
      <c r="X18" s="63"/>
      <c r="Y18" s="64"/>
    </row>
    <row r="19" spans="1:25" ht="20.100000000000001" customHeight="1" x14ac:dyDescent="0.25">
      <c r="A19" s="60" t="s">
        <v>8</v>
      </c>
      <c r="B19" s="60"/>
      <c r="C19" s="91" t="s">
        <v>145</v>
      </c>
      <c r="D19" s="92"/>
      <c r="E19" s="58"/>
      <c r="F19" s="59"/>
      <c r="G19" s="47" t="s">
        <v>83</v>
      </c>
      <c r="H19" s="31"/>
      <c r="I19" s="58"/>
      <c r="J19" s="59"/>
      <c r="K19" s="58"/>
      <c r="L19" s="59"/>
      <c r="M19" s="28"/>
      <c r="N19" s="74" t="s">
        <v>116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60" t="s">
        <v>9</v>
      </c>
      <c r="B20" s="60"/>
      <c r="C20" s="91" t="s">
        <v>144</v>
      </c>
      <c r="D20" s="92"/>
      <c r="E20" s="58"/>
      <c r="F20" s="59"/>
      <c r="G20" s="47" t="s">
        <v>84</v>
      </c>
      <c r="H20" s="31"/>
      <c r="I20" s="58"/>
      <c r="J20" s="59"/>
      <c r="K20" s="58"/>
      <c r="L20" s="59"/>
      <c r="M20" s="28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60" t="s">
        <v>10</v>
      </c>
      <c r="B21" s="60"/>
      <c r="C21" s="91" t="s">
        <v>143</v>
      </c>
      <c r="D21" s="92"/>
      <c r="E21" s="58"/>
      <c r="F21" s="59"/>
      <c r="G21" s="47" t="s">
        <v>85</v>
      </c>
      <c r="H21" s="31"/>
      <c r="I21" s="58"/>
      <c r="J21" s="59"/>
      <c r="K21" s="58"/>
      <c r="L21" s="59"/>
      <c r="M21" s="28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7" t="s">
        <v>86</v>
      </c>
      <c r="H22" s="31"/>
      <c r="I22" s="58"/>
      <c r="J22" s="59"/>
      <c r="K22" s="58"/>
      <c r="L22" s="59"/>
      <c r="M22" s="28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146" t="s">
        <v>201</v>
      </c>
      <c r="B23" s="146"/>
      <c r="C23" s="91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2"/>
      <c r="E23" s="58"/>
      <c r="F23" s="59"/>
      <c r="G23" s="47" t="s">
        <v>87</v>
      </c>
      <c r="H23" s="31"/>
      <c r="I23" s="58"/>
      <c r="J23" s="59"/>
      <c r="K23" s="58"/>
      <c r="L23" s="59"/>
      <c r="M23" s="28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00000000000001" customHeight="1" x14ac:dyDescent="0.25">
      <c r="A24" s="147"/>
      <c r="B24" s="148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7" t="s">
        <v>88</v>
      </c>
      <c r="H24" s="31"/>
      <c r="I24" s="58"/>
      <c r="J24" s="59"/>
      <c r="K24" s="58"/>
      <c r="L24" s="59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8"/>
      <c r="N25" s="21" t="s">
        <v>96</v>
      </c>
      <c r="O25" s="9" t="s">
        <v>197</v>
      </c>
      <c r="P25" s="33"/>
      <c r="Q25" s="9">
        <v>24</v>
      </c>
      <c r="R25" s="9"/>
      <c r="S25" s="9"/>
      <c r="T25" s="9"/>
      <c r="U25" s="9"/>
      <c r="V25" s="9"/>
      <c r="W25" s="9">
        <v>17</v>
      </c>
      <c r="X25" s="9">
        <v>13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0" t="s">
        <v>132</v>
      </c>
      <c r="H26" s="90"/>
      <c r="I26" s="90" t="s">
        <v>131</v>
      </c>
      <c r="J26" s="90"/>
      <c r="K26" s="23" t="s">
        <v>94</v>
      </c>
      <c r="L26" s="23" t="s">
        <v>95</v>
      </c>
      <c r="M26" s="28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00000000000001" customHeight="1" x14ac:dyDescent="0.25">
      <c r="A27" s="21" t="s">
        <v>96</v>
      </c>
      <c r="B27" s="7">
        <v>0.05</v>
      </c>
      <c r="C27" s="7"/>
      <c r="D27" s="149">
        <v>20.2</v>
      </c>
      <c r="E27" s="150">
        <v>3.8</v>
      </c>
      <c r="F27" s="7"/>
      <c r="G27" s="89"/>
      <c r="H27" s="89"/>
      <c r="I27" s="89"/>
      <c r="J27" s="8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89"/>
      <c r="H28" s="89"/>
      <c r="I28" s="89"/>
      <c r="J28" s="8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4" t="s">
        <v>116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42" t="s">
        <v>136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4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45624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45614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555D0B2-5034-4A96-B3F4-3FF3FD65B6A8}"/>
</file>

<file path=customXml/itemProps2.xml><?xml version="1.0" encoding="utf-8"?>
<ds:datastoreItem xmlns:ds="http://schemas.openxmlformats.org/officeDocument/2006/customXml" ds:itemID="{EB3FC7E0-F017-41E8-8E86-1810B406F2CF}"/>
</file>

<file path=customXml/itemProps3.xml><?xml version="1.0" encoding="utf-8"?>
<ds:datastoreItem xmlns:ds="http://schemas.openxmlformats.org/officeDocument/2006/customXml" ds:itemID="{87CCEEA7-894B-4631-91A2-5C0C13F63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2022-10-05T23:32:11Z</cp:lastPrinted>
  <dcterms:created xsi:type="dcterms:W3CDTF">2019-11-27T23:28:06Z</dcterms:created>
  <dcterms:modified xsi:type="dcterms:W3CDTF">2024-10-28T01:47:55Z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