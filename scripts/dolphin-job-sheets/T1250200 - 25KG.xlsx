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693692F5-A6E3-4A29-A8DB-B5A54A58BF6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<sst xmlns="http://schemas.openxmlformats.org/spreadsheetml/2006/main" count="229" uniqueCount="170">
  <si>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</si>
  <si>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</si>
  <si>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</si>
  <si>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</si>
  <si>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</si>
  <si>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</si>
  <si>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</si>
  <si>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</si>
  <si>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</si>
  <si>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</si>
  <si>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</si>
  <si>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</si>
  <si>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</si>
  <si>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</si>
  <si>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</si>
  <si>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</si>
  <si>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</si>
  <si>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</si>
  <si>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</si>
  <si>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</si>
  <si>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</si>
  <si>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</si>
  <si>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</si>
  <si>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</si>
  <si>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</si>
  <si>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</si>
  <si>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</si>
  <si>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</si>
  <si>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</si>
  <si>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</si>
  <si>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</si>
  <si>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</si>
  <si>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</si>
  <si>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</si>
  <si>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</si>
  <si>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</si>
  <si>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</si>
  <si>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</si>
  <si>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</si>
  <si>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</si>
  <si>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</si>
  <si>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</si>
  <si>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</si>
  <si>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</si>
  <si>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</si>
  <si>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</si>
  <si>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</si>
  <si>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</si>
  <si>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</si>
  <si>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</si>
  <si>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</si>
  <si>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</si>
  <si>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</si>
  <si>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</si>
  <si>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</si>
  <si>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</si>
  <si>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</si>
  <si>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</si>
  <si>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</si>
  <si>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</si>
  <si>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</si>
  <si>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</si>
  <si>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</si>
  <si>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</si>
  <si>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</si>
  <si>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</si>
  <si>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</si>
  <si>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</si>
  <si>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</si>
  <si>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</si>
  <si>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</si>
  <si>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</si>
  <si>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</si>
  <si>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</si>
  <si>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</si>
  <si>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</si>
  <si>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</si>
  <si>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</si>
  <si>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</si>
  <si>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</si>
  <si>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</si>
  <si>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</si>
  <si>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</si>
  <si>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</si>
  <si>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</si>
  <si>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</si>
  <si>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</si>
  <si>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</si>
  <si>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</si>
  <si>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</si>
  <si>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</si>
  <si>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</si>
  <si>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</si>
  <si>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</si>
  <si>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</si>
  <si>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</si>
  <si>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</si>
  <si>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</si>
  <si>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</si>
  <si>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</si>
  <si>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</si>
  <si>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</si>
  <si>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</si>
  <si>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</si>
  <si>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</si>
  <si>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</si>
  <si>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</si>
  <si>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</si>
  <si>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</si>
  <si>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</si>
  <si>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</si>
  <si>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</si>
  <si>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</si>
  <si>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</si>
  <si>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</si>
  <si>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</si>
  <si>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</si>
  <si>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</si>
  <si>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</si>
  <si>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</si>
  <si>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</si>
  <si>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</si>
  <si>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</si>
  <si>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</si>
  <si>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</si>
  <si>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</si>
  <si>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</si>
  <si>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</si>
  <si>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</si>
  <si>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</si>
  <si>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</si>
  <si>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</si>
  <si>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</si>
  <si>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</si>
  <si>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</si>
  <si>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</si>
  <si>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</si>
  <si>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</si>
  <si>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</si>
  <si>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</si>
  <si>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</si>
  <si>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</si>
  <si>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</si>
  <si>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</si>
  <si>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</si>
  <si>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</si>
  <si>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</si>
  <si>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</si>
  <si>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</si>
  <si>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</si>
  <si>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</si>
  <si>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</si>
  <si>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</si>
  <si>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</si>
  <si>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</si>
  <si>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</si>
  <si>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</si>
  <si>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</si>
  <si>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</si>
  <si>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</si>
  <si>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</si>
  <si>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</si>
  <si>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</si>
  <si>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+/- 10mm</t>
  </si>
  <si>
    <t>ANTISTATIC</t>
  </si>
  <si>
    <t>%</t>
  </si>
  <si>
    <t>ANTISLIP</t>
  </si>
  <si>
    <t>RUN AT 190um</t>
  </si>
  <si>
    <t>AXTER AUST</t>
  </si>
  <si>
    <t>NEAT ROLLS - NEW ITEM NEW CUSTOMER - NOT OVER 190UM 2 x PALLETS OF 30 ROLLS PER PALLET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</si>
</sst>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O10" sqref="O10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T1250200ASFALSE</v>
      </c>
      <c r="C1" s="101"/>
      <c r="D1" s="102"/>
      <c r="E1" s="11" t="s">
        <v>55</v>
      </c>
      <c r="F1" s="46" t="s">
        <v>168</v>
      </c>
      <c r="G1" s="46"/>
      <c r="H1" s="47"/>
      <c r="I1" s="11" t="s">
        <v>147</v>
      </c>
      <c r="J1" s="103">
        <f ca="1">TODAY()</f>
        <v>45548</v>
      </c>
      <c r="K1" s="103"/>
      <c r="L1" s="104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948631</v>
      </c>
      <c r="G2" s="46"/>
      <c r="H2" s="47"/>
      <c r="I2" s="11" t="s">
        <v>57</v>
      </c>
      <c r="J2" s="105">
        <v>45569</v>
      </c>
      <c r="K2" s="46"/>
      <c r="L2" s="47"/>
    </row>
    <row r="3" spans="1:14" ht="20.149999999999999" customHeight="1" x14ac:dyDescent="0.75">
      <c r="A3" s="112" t="s">
        <v>169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1250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200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07" t="str">
        <f>IF(K10="Middle","RUN 2 UP",IF(AND(B7="Cont Centrefold",B8=380),"RUN 2 UP",""))</f>
        <v/>
      </c>
      <c r="E9" s="108"/>
      <c r="F9" s="109"/>
      <c r="G9" s="13" t="s">
        <v>46</v>
      </c>
      <c r="H9" s="84" t="s">
        <v>167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60</v>
      </c>
      <c r="C10" s="47"/>
      <c r="D10" s="36" t="s">
        <v>104</v>
      </c>
      <c r="E10" s="88">
        <f>E11*B10</f>
        <v>1500</v>
      </c>
      <c r="F10" s="89"/>
      <c r="G10" s="11" t="s">
        <v>51</v>
      </c>
      <c r="H10" s="92">
        <f>H11*B10</f>
        <v>3240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54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11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60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">
        <v>164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5"/>
      <c r="E24" s="59" t="s">
        <v>165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 t="s">
        <v>166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 t="s">
        <v>165</v>
      </c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0" t="s">
        <v>103</v>
      </c>
      <c r="H27" s="110"/>
      <c r="I27" s="110" t="s">
        <v>102</v>
      </c>
      <c r="J27" s="11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06"/>
      <c r="H28" s="106"/>
      <c r="I28" s="106"/>
      <c r="J28" s="106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06"/>
      <c r="H29" s="106"/>
      <c r="I29" s="106"/>
      <c r="J29" s="106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45578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45569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AA7C9CC-B5E4-4DBF-997C-81846B7D9EF7}"/>
</file>

<file path=customXml/itemProps2.xml><?xml version="1.0" encoding="utf-8"?>
<ds:datastoreItem xmlns:ds="http://schemas.openxmlformats.org/officeDocument/2006/customXml" ds:itemID="{0FDE1829-D38B-4F29-B21C-9B8A1D4EC38A}"/>
</file>

<file path=customXml/itemProps3.xml><?xml version="1.0" encoding="utf-8"?>
<ds:datastoreItem xmlns:ds="http://schemas.openxmlformats.org/officeDocument/2006/customXml" ds:itemID="{B9E980C8-A370-4F49-9CA7-39A1954C2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2024-09-12T22:49:46Z</cp:lastPrinted>
  <dcterms:created xsi:type="dcterms:W3CDTF">2019-11-27T23:28:06Z</dcterms:created>
  <dcterms:modified xsi:type="dcterms:W3CDTF">2024-09-12T22:54:32Z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