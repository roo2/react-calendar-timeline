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8D5D696A-D8E4-447A-A4B3-C1314294EE67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<sst xmlns="http://schemas.openxmlformats.org/spreadsheetml/2006/main" count="226" uniqueCount="167">
  <si>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</si>
  <si>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</si>
  <si>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</si>
  <si>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</si>
  <si>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</si>
  <si>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</si>
  <si>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</si>
  <si>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</si>
  <si>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</si>
  <si>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</si>
  <si>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</si>
  <si>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</si>
  <si>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</si>
  <si>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</si>
  <si>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</si>
  <si>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</si>
  <si>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</si>
  <si>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</si>
  <si>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</si>
  <si>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</si>
  <si>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</si>
  <si>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</si>
  <si>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</si>
  <si>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</si>
  <si>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</si>
  <si>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</si>
  <si>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</si>
  <si>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</si>
  <si>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</si>
  <si>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</si>
  <si>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</si>
  <si>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</si>
  <si>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</si>
  <si>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</si>
  <si>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</si>
  <si>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</si>
  <si>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</si>
  <si>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</si>
  <si>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</si>
  <si>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</si>
  <si>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</si>
  <si>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</si>
  <si>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</si>
  <si>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</si>
  <si>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</si>
  <si>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</si>
  <si>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</si>
  <si>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</si>
  <si>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</si>
  <si>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</si>
  <si>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</si>
  <si>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</si>
  <si>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</si>
  <si>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</si>
  <si>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</si>
  <si>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</si>
  <si>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</si>
  <si>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</si>
  <si>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</si>
  <si>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</si>
  <si>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</si>
  <si>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</si>
  <si>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</si>
  <si>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</si>
  <si>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</si>
  <si>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</si>
  <si>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</si>
  <si>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</si>
  <si>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</si>
  <si>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</si>
  <si>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</si>
  <si>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</si>
  <si>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</si>
  <si>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</si>
  <si>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</si>
  <si>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</si>
  <si>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</si>
  <si>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</si>
  <si>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</si>
  <si>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</si>
  <si>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</si>
  <si>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</si>
  <si>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</si>
  <si>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</si>
  <si>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</si>
  <si>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</si>
  <si>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</si>
  <si>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</si>
  <si>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</si>
  <si>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</si>
  <si>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</si>
  <si>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</si>
  <si>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</si>
  <si>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</si>
  <si>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</si>
  <si>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</si>
  <si>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</si>
  <si>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</si>
  <si>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</si>
  <si>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</si>
  <si>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</si>
  <si>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</si>
  <si>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</si>
  <si>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</si>
  <si>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</si>
  <si>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</si>
  <si>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</si>
  <si>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</si>
  <si>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</si>
  <si>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</si>
  <si>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</si>
  <si>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</si>
  <si>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</si>
  <si>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</si>
  <si>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</si>
  <si>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</si>
  <si>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</si>
  <si>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</si>
  <si>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</si>
  <si>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</si>
  <si>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</si>
  <si>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</si>
  <si>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</si>
  <si>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</si>
  <si>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</si>
  <si>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</si>
  <si>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</si>
  <si>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</si>
  <si>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</si>
  <si>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</si>
  <si>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</si>
  <si>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</si>
  <si>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</si>
  <si>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</si>
  <si>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</si>
  <si>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</si>
  <si>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</si>
  <si>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</si>
  <si>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</si>
  <si>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</si>
  <si>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</si>
  <si>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</si>
  <si>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</si>
  <si>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</si>
  <si>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</si>
  <si>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</si>
  <si>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</si>
  <si>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</si>
  <si>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</si>
  <si>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</si>
  <si>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</si>
  <si>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</si>
  <si>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</si>
  <si>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</si>
  <si>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</si>
  <si>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</si>
  <si>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</si>
  <si>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</si>
  <si>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</si>
  <si>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</si>
  <si>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</si>
  <si>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</si>
  <si>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</si>
  <si>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</si>
  <si>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ASHFORD HEMP INDUSTRIES</t>
  </si>
  <si>
    <t>(390+380)</t>
  </si>
  <si>
    <t>MUST BE VENTED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</si>
</sst>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 applyProtection="1">
      <alignment horizontal="center"/>
      <protection locked="0"/>
    </xf>
    <xf numFmtId="0" fontId="15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14" ht="20.05" customHeight="1" x14ac:dyDescent="0.3">
      <c r="A1" s="12" t="s">
        <v>54</v>
      </c>
      <c r="B1" s="112" t="str">
        <f>IF(B7="Tube","T",IF(B7="Cont Sheet Roll","SR",IF(B7="Cont Centrefold","CFR")))&amp;B8&amp;IF(E8="","",E8&amp;H8&amp;(IF(K11="INLINE","P",IF(K11="OUT OF LINE","P",IF(K11="NONE",""))))&amp;C24&amp;C25)</f>
        <v>T770(390+380)100</v>
      </c>
      <c r="C1" s="112"/>
      <c r="D1" s="113"/>
      <c r="E1" s="12" t="s">
        <v>55</v>
      </c>
      <c r="F1" s="122" t="s">
        <v>164</v>
      </c>
      <c r="G1" s="122"/>
      <c r="H1" s="123"/>
      <c r="I1" s="12" t="s">
        <v>148</v>
      </c>
      <c r="J1" s="124">
        <f ca="1">TODAY()</f>
        <v>44026</v>
      </c>
      <c r="K1" s="124"/>
      <c r="L1" s="125"/>
    </row>
    <row r="2" spans="1:14" ht="20.05" customHeight="1" x14ac:dyDescent="0.3">
      <c r="A2" s="12" t="s">
        <v>94</v>
      </c>
      <c r="B2" s="103" t="str">
        <f>IF(B7="Tube",(ROUNDUP(E11,0)&amp;"KG"),(ROUNDUP(H11,0)&amp;"M"))</f>
        <v>20KG</v>
      </c>
      <c r="C2" s="103"/>
      <c r="D2" s="104"/>
      <c r="E2" s="12" t="s">
        <v>56</v>
      </c>
      <c r="F2" s="55">
        <v>937784</v>
      </c>
      <c r="G2" s="55"/>
      <c r="H2" s="56"/>
      <c r="I2" s="12" t="s">
        <v>57</v>
      </c>
      <c r="J2" s="126">
        <v>44057</v>
      </c>
      <c r="K2" s="55"/>
      <c r="L2" s="56"/>
    </row>
    <row r="3" spans="1:14" ht="20.05" customHeight="1" x14ac:dyDescent="0.3">
      <c r="A3" s="136" t="s">
        <v>166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</row>
    <row r="4" spans="1:14" ht="20.05" customHeight="1" x14ac:dyDescent="0.3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</row>
    <row r="5" spans="1:14" ht="20.05" customHeight="1" x14ac:dyDescent="0.3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</row>
    <row r="6" spans="1:14" ht="20.05" customHeight="1" x14ac:dyDescent="0.3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05" customHeight="1" x14ac:dyDescent="0.35">
      <c r="A7" s="12" t="s">
        <v>158</v>
      </c>
      <c r="B7" s="55" t="s">
        <v>159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05" customHeight="1" x14ac:dyDescent="0.3">
      <c r="A8" s="13" t="s">
        <v>14</v>
      </c>
      <c r="B8" s="77">
        <v>770</v>
      </c>
      <c r="C8" s="78"/>
      <c r="D8" s="13" t="str">
        <f>IF(B7="Tube","Gusset","Centrefold")</f>
        <v>Gusset</v>
      </c>
      <c r="E8" s="108" t="s">
        <v>165</v>
      </c>
      <c r="F8" s="109"/>
      <c r="G8" s="13" t="s">
        <v>50</v>
      </c>
      <c r="H8" s="77">
        <v>100</v>
      </c>
      <c r="I8" s="78"/>
      <c r="J8" s="12" t="s">
        <v>52</v>
      </c>
      <c r="K8" s="112" t="str">
        <f>IF(ISNUMBER(SEARCH("+",E8,1)),"Gusset Tube","Layflat Tube")</f>
        <v>Gusset Tube</v>
      </c>
      <c r="L8" s="113"/>
    </row>
    <row r="9" spans="1:14" ht="20.05" customHeight="1" x14ac:dyDescent="0.35">
      <c r="A9" s="14" t="s">
        <v>46</v>
      </c>
      <c r="B9" s="95" t="s">
        <v>146</v>
      </c>
      <c r="C9" s="96"/>
      <c r="D9" s="128" t="str">
        <f>IF(K10="Middle","RUN 2 UP",IF(AND(B7="Cont Centrefold",B8=380),"RUN 2 UP",""))</f>
        <v/>
      </c>
      <c r="E9" s="129"/>
      <c r="F9" s="130"/>
      <c r="G9" s="14" t="s">
        <v>46</v>
      </c>
      <c r="H9" s="95" t="s">
        <v>146</v>
      </c>
      <c r="I9" s="96"/>
      <c r="J9" s="12" t="s">
        <v>53</v>
      </c>
      <c r="K9" s="55" t="s">
        <v>28</v>
      </c>
      <c r="L9" s="56"/>
    </row>
    <row r="10" spans="1:14" ht="20.05" customHeight="1" x14ac:dyDescent="0.3">
      <c r="A10" s="12" t="s">
        <v>49</v>
      </c>
      <c r="B10" s="55">
        <v>3</v>
      </c>
      <c r="C10" s="56"/>
      <c r="D10" s="42" t="s">
        <v>104</v>
      </c>
      <c r="E10" s="99">
        <f>E11*B10</f>
        <v>60</v>
      </c>
      <c r="F10" s="100"/>
      <c r="G10" s="12" t="s">
        <v>51</v>
      </c>
      <c r="H10" s="103">
        <f>H11*B10</f>
        <v>420.77922077922074</v>
      </c>
      <c r="I10" s="104"/>
      <c r="J10" s="12" t="s">
        <v>39</v>
      </c>
      <c r="K10" s="55" t="s">
        <v>42</v>
      </c>
      <c r="L10" s="56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20</v>
      </c>
      <c r="F11" s="102"/>
      <c r="G11" s="51" t="s">
        <v>13</v>
      </c>
      <c r="H11" s="105">
        <f>E11*540000/B8/H8</f>
        <v>140.25974025974025</v>
      </c>
      <c r="I11" s="106"/>
      <c r="J11" s="51" t="s">
        <v>48</v>
      </c>
      <c r="K11" s="110" t="s">
        <v>42</v>
      </c>
      <c r="L11" s="111"/>
      <c r="N11"/>
    </row>
    <row r="12" spans="1:14" ht="20.05" customHeight="1" x14ac:dyDescent="0.3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05" customHeight="1" x14ac:dyDescent="0.3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05" customHeight="1" x14ac:dyDescent="0.35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05" customHeight="1" x14ac:dyDescent="0.3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5"/>
    </row>
    <row r="16" spans="1:14" ht="20.05" customHeight="1" x14ac:dyDescent="0.3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3</v>
      </c>
      <c r="G16" s="112"/>
      <c r="H16" s="113"/>
      <c r="I16" s="12" t="s">
        <v>74</v>
      </c>
      <c r="J16" s="55"/>
      <c r="K16" s="55"/>
      <c r="L16" s="56"/>
    </row>
    <row r="17" spans="1:12" ht="20.05" customHeight="1" x14ac:dyDescent="0.3">
      <c r="A17" s="132" t="s">
        <v>149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4"/>
    </row>
    <row r="18" spans="1:12" ht="20.05" customHeight="1" x14ac:dyDescent="0.3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05" customHeight="1" x14ac:dyDescent="0.3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05" customHeight="1" x14ac:dyDescent="0.3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05" customHeight="1" x14ac:dyDescent="0.3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05" customHeight="1" x14ac:dyDescent="0.3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05" customHeight="1" x14ac:dyDescent="0.3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05" customHeight="1" x14ac:dyDescent="0.3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05" customHeight="1" x14ac:dyDescent="0.3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05" customHeight="1" x14ac:dyDescent="0.3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05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1" t="s">
        <v>103</v>
      </c>
      <c r="H27" s="131"/>
      <c r="I27" s="131" t="s">
        <v>102</v>
      </c>
      <c r="J27" s="131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127"/>
      <c r="H28" s="127"/>
      <c r="I28" s="127"/>
      <c r="J28" s="127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127"/>
      <c r="H29" s="127"/>
      <c r="I29" s="127"/>
      <c r="J29" s="127"/>
      <c r="K29" s="6"/>
      <c r="L29" s="27"/>
    </row>
    <row r="30" spans="1:12" ht="20.05" customHeight="1" x14ac:dyDescent="0.3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05" customHeigh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05" customHeight="1" x14ac:dyDescent="0.3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05" customHeight="1" x14ac:dyDescent="0.3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44057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44047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ADE2C75-0354-49D5-9C88-9438A1881E4D}"/>
</file>

<file path=customXml/itemProps2.xml><?xml version="1.0" encoding="utf-8"?>
<ds:datastoreItem xmlns:ds="http://schemas.openxmlformats.org/officeDocument/2006/customXml" ds:itemID="{B25B0332-F10B-48AC-826A-5A26D95BDD2F}"/>
</file>

<file path=customXml/itemProps3.xml><?xml version="1.0" encoding="utf-8"?>
<ds:datastoreItem xmlns:ds="http://schemas.openxmlformats.org/officeDocument/2006/customXml" ds:itemID="{3C1F5DD0-840D-475B-87F2-C1A7ABA1EF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2020-07-14T05:39:51Z</cp:lastPrinted>
  <dcterms:created xsi:type="dcterms:W3CDTF">2019-11-27T23:28:06Z</dcterms:created>
  <dcterms:modified xsi:type="dcterms:W3CDTF">2020-07-14T05:41:20Z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