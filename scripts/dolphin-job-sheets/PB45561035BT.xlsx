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5" documentId="13_ncr:1_{98E340ED-A9D7-4D36-9CD4-DF4F3BFA6B6F}" xr6:coauthVersionLast="47" xr6:coauthVersionMax="47" xr10:uidLastSave="{34CFD7E3-61B8-4C48-82BE-F3E11788C869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<sst xmlns="http://schemas.openxmlformats.org/spreadsheetml/2006/main" count="310" uniqueCount="207">
  <si>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</si>
  <si>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</si>
  <si>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</si>
  <si>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</si>
  <si>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</si>
  <si>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</si>
  <si>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</si>
  <si>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</si>
  <si>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</si>
  <si>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</si>
  <si>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</si>
  <si>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</si>
  <si>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</si>
  <si>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</si>
  <si>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</si>
  <si>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</si>
  <si>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</si>
  <si>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</si>
  <si>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</si>
  <si>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</si>
  <si>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</si>
  <si>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</si>
  <si>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</si>
  <si>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</si>
  <si>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</si>
  <si>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</si>
  <si>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</si>
  <si>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</si>
  <si>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</si>
  <si>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</si>
  <si>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</si>
  <si>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</si>
  <si>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</si>
  <si>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</si>
  <si>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</si>
  <si>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</si>
  <si>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</si>
  <si>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</si>
  <si>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</si>
  <si>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</si>
  <si>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</si>
  <si>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</si>
  <si>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</si>
  <si>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</si>
  <si>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</si>
  <si>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</si>
  <si>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</si>
  <si>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</si>
  <si>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</si>
  <si>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</si>
  <si>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</si>
  <si>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</si>
  <si>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</si>
  <si>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</si>
  <si>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</si>
  <si>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</si>
  <si>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</si>
  <si>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</si>
  <si>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</si>
  <si>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</si>
  <si>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</si>
  <si>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</si>
  <si>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</si>
  <si>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</si>
  <si>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</si>
  <si>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</si>
  <si>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</si>
  <si>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</si>
  <si>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</si>
  <si>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</si>
  <si>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</si>
  <si>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</si>
  <si>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</si>
  <si>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</si>
  <si>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</si>
  <si>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</si>
  <si>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</si>
  <si>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</si>
  <si>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</si>
  <si>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</si>
  <si>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</si>
  <si>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</si>
  <si>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</si>
  <si>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</si>
  <si>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</si>
  <si>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</si>
  <si>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</si>
  <si>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</si>
  <si>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</si>
  <si>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</si>
  <si>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</si>
  <si>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</si>
  <si>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</si>
  <si>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</si>
  <si>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</si>
  <si>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</si>
  <si>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</si>
  <si>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</si>
  <si>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</si>
  <si>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</si>
  <si>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</si>
  <si>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</si>
  <si>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</si>
  <si>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</si>
  <si>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</si>
  <si>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</si>
  <si>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</si>
  <si>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</si>
  <si>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</si>
  <si>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</si>
  <si>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</si>
  <si>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</si>
  <si>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</si>
  <si>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</si>
  <si>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</si>
  <si>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</si>
  <si>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</si>
  <si>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</si>
  <si>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</si>
  <si>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</si>
  <si>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</si>
  <si>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</si>
  <si>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</si>
  <si>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</si>
  <si>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</si>
  <si>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</si>
  <si>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</si>
  <si>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</si>
  <si>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</si>
  <si>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</si>
  <si>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</si>
  <si>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</si>
  <si>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</si>
  <si>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</si>
  <si>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</si>
  <si>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</si>
  <si>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</si>
  <si>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</si>
  <si>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</si>
  <si>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</si>
  <si>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</si>
  <si>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</si>
  <si>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</si>
  <si>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</si>
  <si>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</si>
  <si>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</si>
  <si>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</si>
  <si>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</si>
  <si>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</si>
  <si>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</si>
  <si>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</si>
  <si>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</si>
  <si>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</si>
  <si>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</si>
  <si>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</si>
  <si>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</si>
  <si>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</si>
  <si>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</si>
  <si>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</si>
  <si>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</si>
  <si>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</si>
  <si>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</si>
  <si>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</si>
  <si>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</si>
  <si>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</si>
  <si>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</si>
  <si>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</si>
  <si>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</si>
  <si>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</si>
  <si>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</si>
  <si>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</si>
  <si>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</si>
  <si>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</si>
  <si>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</si>
  <si>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</si>
  <si>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</si>
  <si>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</si>
  <si>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</si>
  <si>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</si>
  <si>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</si>
  <si>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</si>
  <si>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</si>
  <si>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</si>
  <si>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</si>
  <si>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</si>
  <si>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</si>
  <si>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</si>
  <si>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</si>
  <si>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</si>
  <si>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</si>
  <si>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</si>
  <si>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</si>
  <si>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</si>
  <si>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</si>
  <si>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</si>
  <si>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 xml:space="preserve"> +/- 5mm</t>
  </si>
  <si>
    <t>EPICUREAN</t>
  </si>
  <si>
    <t>RUN AT 35um</t>
  </si>
  <si>
    <t>NotesMUST BE RUN ON THE 45 &amp; 55 ONLY</t>
  </si>
  <si>
    <t>ANTIBLOCK</t>
  </si>
  <si>
    <t>EXT 55</t>
  </si>
  <si>
    <t>ex45</t>
  </si>
  <si>
    <t>LIMAX/perf</t>
  </si>
  <si>
    <t>32/32</t>
  </si>
  <si>
    <t>6/435</t>
  </si>
  <si>
    <t>11/120</t>
  </si>
  <si>
    <t>951812/951638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</si>
</sst>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15" fillId="3" borderId="10" xfId="0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U10" sqref="U10:Y11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PB45561035BTAS0</v>
      </c>
      <c r="C1" s="110"/>
      <c r="D1" s="111"/>
      <c r="E1" s="9" t="s">
        <v>57</v>
      </c>
      <c r="F1" s="61" t="s">
        <v>196</v>
      </c>
      <c r="G1" s="61"/>
      <c r="H1" s="62"/>
      <c r="I1" s="10" t="s">
        <v>181</v>
      </c>
      <c r="J1" s="122">
        <f ca="1">TODAY()</f>
        <v>46132</v>
      </c>
      <c r="K1" s="122"/>
      <c r="L1" s="123"/>
      <c r="M1" s="27"/>
      <c r="N1" s="9" t="s">
        <v>56</v>
      </c>
      <c r="O1" s="110" t="str">
        <f>B1</f>
        <v>PB45561035BTAS0</v>
      </c>
      <c r="P1" s="110"/>
      <c r="Q1" s="111"/>
      <c r="R1" s="9" t="s">
        <v>57</v>
      </c>
      <c r="S1" s="110" t="str">
        <f>F1</f>
        <v>EPICUREAN</v>
      </c>
      <c r="T1" s="110"/>
      <c r="U1" s="111"/>
      <c r="V1" s="9" t="s">
        <v>181</v>
      </c>
      <c r="W1" s="122">
        <f ca="1">J1</f>
        <v>46132</v>
      </c>
      <c r="X1" s="122"/>
      <c r="Y1" s="123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61" t="s">
        <v>206</v>
      </c>
      <c r="G2" s="61"/>
      <c r="H2" s="62"/>
      <c r="I2" s="9" t="s">
        <v>59</v>
      </c>
      <c r="J2" s="125" t="s">
        <v>192</v>
      </c>
      <c r="K2" s="61"/>
      <c r="L2" s="62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 t="str">
        <f>IF(F2="","",F2)</f>
        <v>951812/951638</v>
      </c>
      <c r="T2" s="110"/>
      <c r="U2" s="111"/>
      <c r="V2" s="9" t="s">
        <v>59</v>
      </c>
      <c r="W2" s="124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21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102" t="s">
        <v>159</v>
      </c>
      <c r="C7" s="102"/>
      <c r="D7" s="102"/>
      <c r="E7" s="102"/>
      <c r="F7" s="102"/>
      <c r="G7" s="102"/>
      <c r="H7" s="102"/>
      <c r="I7" s="103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64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10">
        <f>R7*O7</f>
        <v>64000</v>
      </c>
      <c r="V7" s="111"/>
      <c r="W7" s="9" t="s">
        <v>102</v>
      </c>
      <c r="X7" s="61" t="s">
        <v>31</v>
      </c>
      <c r="Y7" s="62"/>
    </row>
    <row r="8" spans="1:25" ht="20.100000000000001" customHeight="1" x14ac:dyDescent="0.25">
      <c r="A8" s="11" t="s">
        <v>16</v>
      </c>
      <c r="B8" s="98">
        <f>R9</f>
        <v>455</v>
      </c>
      <c r="C8" s="99"/>
      <c r="D8" s="25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1" t="s">
        <v>52</v>
      </c>
      <c r="H8" s="98">
        <f>(IF(V9&lt;30,"30",V9))</f>
        <v>35</v>
      </c>
      <c r="I8" s="9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00" t="s">
        <v>164</v>
      </c>
      <c r="P8" s="101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4" t="s">
        <v>48</v>
      </c>
      <c r="B9" s="128" t="s">
        <v>195</v>
      </c>
      <c r="C9" s="129"/>
      <c r="D9" s="136" t="str">
        <f>IF(K10="Middle","RUN 2 UP",IF(AND(O8="Centrefold Roll",B8=380),"RUN 2 UP",""))</f>
        <v/>
      </c>
      <c r="E9" s="102"/>
      <c r="F9" s="103"/>
      <c r="G9" s="14" t="s">
        <v>48</v>
      </c>
      <c r="H9" s="128" t="s">
        <v>197</v>
      </c>
      <c r="I9" s="129"/>
      <c r="J9" s="9" t="s">
        <v>55</v>
      </c>
      <c r="K9" s="61" t="s">
        <v>30</v>
      </c>
      <c r="L9" s="62"/>
      <c r="M9" s="27"/>
      <c r="N9" s="15"/>
      <c r="O9" s="104" t="str">
        <f>IF(O8="Poly Bag","PB",IF(O8="Poly Bag Roll","PBR",IF(O8="Centrefold Roll","CFR",IF(O8="Sheet","S",IF(O8="Sheet Roll","SR")))))</f>
        <v>PB</v>
      </c>
      <c r="P9" s="105"/>
      <c r="Q9" s="15"/>
      <c r="R9" s="28">
        <v>455</v>
      </c>
      <c r="S9" s="16" t="s">
        <v>78</v>
      </c>
      <c r="T9" s="28">
        <v>610</v>
      </c>
      <c r="U9" s="16" t="s">
        <v>78</v>
      </c>
      <c r="V9" s="28">
        <v>35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30</v>
      </c>
      <c r="C10" s="62"/>
      <c r="D10" s="45" t="s">
        <v>134</v>
      </c>
      <c r="E10" s="130">
        <f>IF(ISNUMBER(SEARCH("sheet",O8,1)),((R9*T9*H8/540000)*U7/2000*1.3),((R9*T9*H8/540000)*U7/1000*1.08))</f>
        <v>1243.424</v>
      </c>
      <c r="F10" s="131"/>
      <c r="G10" s="9" t="s">
        <v>53</v>
      </c>
      <c r="H10" s="134">
        <f>IF(ISNUMBER(SEARCH("sheet",O8,1)),(U7*T9/2000*1.08),(U7*T9/1000*1.08))</f>
        <v>42163.200000000004</v>
      </c>
      <c r="I10" s="135"/>
      <c r="J10" s="9" t="s">
        <v>41</v>
      </c>
      <c r="K10" s="61" t="s">
        <v>44</v>
      </c>
      <c r="L10" s="62"/>
      <c r="M10" s="27"/>
      <c r="N10" s="12" t="s">
        <v>141</v>
      </c>
      <c r="O10" s="100" t="s">
        <v>44</v>
      </c>
      <c r="P10" s="101"/>
      <c r="Q10" s="12" t="s">
        <v>50</v>
      </c>
      <c r="R10" s="96" t="str">
        <f>IF(K11="NONE","None",IF(K11="INLINE","Yes",IF(K11="OUT OF LINE","Yes")))</f>
        <v>None</v>
      </c>
      <c r="S10" s="96"/>
      <c r="T10" s="12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32">
        <f>E10/B10</f>
        <v>41.447466666666664</v>
      </c>
      <c r="F11" s="133"/>
      <c r="G11" s="9" t="s">
        <v>15</v>
      </c>
      <c r="H11" s="132">
        <f>H10/B10</f>
        <v>1405.44</v>
      </c>
      <c r="I11" s="133"/>
      <c r="J11" s="9" t="s">
        <v>50</v>
      </c>
      <c r="K11" s="61" t="s">
        <v>44</v>
      </c>
      <c r="L11" s="62"/>
      <c r="M11" s="27"/>
      <c r="N11" s="11"/>
      <c r="O11" s="98" t="str">
        <f>IF(O10="NONE","","V")</f>
        <v/>
      </c>
      <c r="P11" s="99"/>
      <c r="Q11" s="11"/>
      <c r="R11" s="98" t="str">
        <f>IF(R10="None","","P")</f>
        <v/>
      </c>
      <c r="S11" s="99"/>
      <c r="T11" s="11"/>
      <c r="U11" s="108"/>
      <c r="V11" s="108"/>
      <c r="W11" s="108"/>
      <c r="X11" s="108"/>
      <c r="Y11" s="109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64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27</v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9" t="s">
        <v>4</v>
      </c>
      <c r="F16" s="149"/>
      <c r="G16" s="149" t="s">
        <v>5</v>
      </c>
      <c r="H16" s="149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180</v>
      </c>
      <c r="P16" s="62"/>
      <c r="Q16" s="9" t="s">
        <v>105</v>
      </c>
      <c r="R16" s="61" t="s">
        <v>31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4" t="s">
        <v>147</v>
      </c>
      <c r="D17" s="95"/>
      <c r="E17" s="91"/>
      <c r="F17" s="64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4" t="s">
        <v>146</v>
      </c>
      <c r="D18" s="95"/>
      <c r="E18" s="91"/>
      <c r="F18" s="64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23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4" t="s">
        <v>145</v>
      </c>
      <c r="D19" s="95"/>
      <c r="E19" s="91"/>
      <c r="F19" s="64"/>
      <c r="G19" s="46" t="s">
        <v>83</v>
      </c>
      <c r="H19" s="30"/>
      <c r="I19" s="58"/>
      <c r="J19" s="59"/>
      <c r="K19" s="58"/>
      <c r="L19" s="59"/>
      <c r="M19" s="27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4" t="s">
        <v>144</v>
      </c>
      <c r="D20" s="95"/>
      <c r="E20" s="91"/>
      <c r="F20" s="64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4" t="s">
        <v>143</v>
      </c>
      <c r="D21" s="95"/>
      <c r="E21" s="91"/>
      <c r="F21" s="64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BLUE TINT</v>
      </c>
      <c r="B22" s="60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5"/>
      <c r="E22" s="89">
        <v>0.02</v>
      </c>
      <c r="F22" s="64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50" t="s">
        <v>194</v>
      </c>
      <c r="B23" s="15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89">
        <v>0.02</v>
      </c>
      <c r="F23" s="64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51" t="s">
        <v>199</v>
      </c>
      <c r="B24" s="152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89">
        <v>0.01</v>
      </c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202</v>
      </c>
      <c r="P25" s="32"/>
      <c r="Q25" s="8" t="s">
        <v>203</v>
      </c>
      <c r="R25" s="8" t="s">
        <v>204</v>
      </c>
      <c r="S25" s="8"/>
      <c r="T25" s="8">
        <v>7</v>
      </c>
      <c r="U25" s="8"/>
      <c r="V25" s="8"/>
      <c r="W25" s="8">
        <v>15121</v>
      </c>
      <c r="X25" s="8" t="s">
        <v>205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3" t="s">
        <v>132</v>
      </c>
      <c r="H26" s="93"/>
      <c r="I26" s="93" t="s">
        <v>131</v>
      </c>
      <c r="J26" s="93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 t="s">
        <v>200</v>
      </c>
      <c r="C27" s="7"/>
      <c r="D27" s="7">
        <v>13.5</v>
      </c>
      <c r="E27" s="57">
        <v>11.5</v>
      </c>
      <c r="F27" s="7"/>
      <c r="G27" s="92"/>
      <c r="H27" s="92"/>
      <c r="I27" s="92"/>
      <c r="J27" s="92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8">
        <v>16</v>
      </c>
      <c r="E28" s="57">
        <v>8.4</v>
      </c>
      <c r="F28" s="7"/>
      <c r="G28" s="92"/>
      <c r="H28" s="92"/>
      <c r="I28" s="92"/>
      <c r="J28" s="92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37" t="s">
        <v>198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46162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46153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74F0A-7F16-4D64-9A95-487268490931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3F86C761-9D98-4178-8DE1-D4E7DAE6E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4F82A7-1964-4FAC-B44D-C7A2E4F71C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2026-04-16T04:49:53Z</cp:lastPrinted>
  <dcterms:created xsi:type="dcterms:W3CDTF">2019-11-27T23:28:06Z</dcterms:created>
  <dcterms:modified xsi:type="dcterms:W3CDTF">2026-04-20T03:09:21Z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