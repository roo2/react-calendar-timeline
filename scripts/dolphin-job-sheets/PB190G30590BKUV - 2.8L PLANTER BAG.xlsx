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FECC553-CBC6-4297-AAE2-41520B6DA12E}" xr6:coauthVersionLast="47" xr6:coauthVersionMax="47" xr10:uidLastSave="{00000000-0000-0000-0000-000000000000}"/>
  <bookViews>
    <workbookView xWindow="30555" yWindow="343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<sst xmlns="http://schemas.openxmlformats.org/spreadsheetml/2006/main" count="312" uniqueCount="207">
  <si>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</si>
  <si>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</si>
  <si>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</si>
  <si>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</si>
  <si>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</si>
  <si>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</si>
  <si>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</si>
  <si>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</si>
  <si>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</si>
  <si>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</si>
  <si>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</si>
  <si>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</si>
  <si>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</si>
  <si>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</si>
  <si>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</si>
  <si>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</si>
  <si>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</si>
  <si>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</si>
  <si>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</si>
  <si>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</si>
  <si>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</si>
  <si>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</si>
  <si>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</si>
  <si>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</si>
  <si>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</si>
  <si>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</si>
  <si>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</si>
  <si>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</si>
  <si>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</si>
  <si>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</si>
  <si>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</si>
  <si>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</si>
  <si>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</si>
  <si>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</si>
  <si>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</si>
  <si>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</si>
  <si>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</si>
  <si>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</si>
  <si>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</si>
  <si>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</si>
  <si>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</si>
  <si>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</si>
  <si>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</si>
  <si>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</si>
  <si>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</si>
  <si>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</si>
  <si>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</si>
  <si>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</si>
  <si>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</si>
  <si>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</si>
  <si>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</si>
  <si>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</si>
  <si>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</si>
  <si>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</si>
  <si>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</si>
  <si>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</si>
  <si>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</si>
  <si>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</si>
  <si>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</si>
  <si>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</si>
  <si>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</si>
  <si>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</si>
  <si>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</si>
  <si>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</si>
  <si>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</si>
  <si>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</si>
  <si>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</si>
  <si>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</si>
  <si>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</si>
  <si>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</si>
  <si>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</si>
  <si>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</si>
  <si>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</si>
  <si>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</si>
  <si>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</si>
  <si>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</si>
  <si>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</si>
  <si>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</si>
  <si>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</si>
  <si>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</si>
  <si>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</si>
  <si>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</si>
  <si>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</si>
  <si>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</si>
  <si>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</si>
  <si>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</si>
  <si>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</si>
  <si>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</si>
  <si>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</si>
  <si>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</si>
  <si>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</si>
  <si>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</si>
  <si>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</si>
  <si>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</si>
  <si>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</si>
  <si>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</si>
  <si>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</si>
  <si>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</si>
  <si>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</si>
  <si>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</si>
  <si>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</si>
  <si>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</si>
  <si>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</si>
  <si>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</si>
  <si>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</si>
  <si>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</si>
  <si>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</si>
  <si>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</si>
  <si>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</si>
  <si>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</si>
  <si>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</si>
  <si>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</si>
  <si>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</si>
  <si>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</si>
  <si>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</si>
  <si>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</si>
  <si>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</si>
  <si>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</si>
  <si>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</si>
  <si>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</si>
  <si>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</si>
  <si>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</si>
  <si>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</si>
  <si>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</si>
  <si>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</si>
  <si>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</si>
  <si>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</si>
  <si>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</si>
  <si>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</si>
  <si>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</si>
  <si>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</si>
  <si>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</si>
  <si>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</si>
  <si>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</si>
  <si>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</si>
  <si>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</si>
  <si>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</si>
  <si>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</si>
  <si>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</si>
  <si>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</si>
  <si>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</si>
  <si>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</si>
  <si>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</si>
  <si>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</si>
  <si>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</si>
  <si>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</si>
  <si>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</si>
  <si>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</si>
  <si>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</si>
  <si>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</si>
  <si>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</si>
  <si>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</si>
  <si>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</si>
  <si>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</si>
  <si>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</si>
  <si>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</si>
  <si>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</si>
  <si>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</si>
  <si>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</si>
  <si>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</si>
  <si>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</si>
  <si>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</si>
  <si>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</si>
  <si>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</si>
  <si>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</si>
  <si>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</si>
  <si>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</si>
  <si>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</si>
  <si>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</si>
  <si>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</si>
  <si>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</si>
  <si>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</si>
  <si>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</si>
  <si>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</si>
  <si>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</si>
  <si>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</si>
  <si>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</si>
  <si>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</si>
  <si>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</si>
  <si>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</si>
  <si>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</si>
  <si>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</si>
  <si>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</si>
  <si>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</si>
  <si>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</si>
  <si>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</si>
  <si>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</si>
  <si>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</si>
  <si>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</si>
  <si>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</si>
  <si>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</si>
  <si>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</si>
  <si>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</si>
  <si>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</si>
  <si>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</si>
  <si>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</si>
  <si>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</si>
  <si>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</si>
  <si>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</si>
  <si>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(100+90)</t>
  </si>
  <si>
    <t>2.8L PLANTER BAG</t>
  </si>
  <si>
    <t>130 Meat</t>
  </si>
  <si>
    <t>150 Meat</t>
  </si>
  <si>
    <t>PERF</t>
  </si>
  <si>
    <t>-</t>
  </si>
  <si>
    <t>22.06.2022</t>
  </si>
  <si>
    <t>130 MEAT ONLY - BUNDLES MUST BE IN PACKS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</si>
</sst>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/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5" fillId="0" borderId="3" xfId="0" applyFont="1" applyBorder="1" applyAlignment="1" applyProtection="1">
      <alignment horizontal="center" vertical="top"/>
      <protection locked="0"/>
    </xf>
    <xf numFmtId="0" fontId="15" fillId="0" borderId="8" xfId="0" applyFont="1" applyBorder="1" applyAlignment="1" applyProtection="1">
      <alignment horizontal="center" vertical="top"/>
      <protection locked="0"/>
    </xf>
    <xf numFmtId="0" fontId="15" fillId="0" borderId="9" xfId="0" applyFont="1" applyBorder="1" applyAlignment="1" applyProtection="1">
      <alignment horizontal="center" vertical="top"/>
      <protection locked="0"/>
    </xf>
    <xf numFmtId="0" fontId="15" fillId="0" borderId="0" xfId="0" applyFont="1" applyAlignment="1" applyProtection="1">
      <alignment horizontal="center" vertical="top"/>
      <protection locked="0"/>
    </xf>
    <xf numFmtId="0" fontId="15" fillId="0" borderId="10" xfId="0" applyFont="1" applyBorder="1" applyAlignment="1" applyProtection="1">
      <alignment horizontal="center" vertical="top"/>
      <protection locked="0"/>
    </xf>
    <xf numFmtId="0" fontId="15" fillId="0" borderId="11" xfId="0" applyFont="1" applyBorder="1" applyAlignment="1" applyProtection="1">
      <alignment horizontal="center" vertical="top"/>
      <protection locked="0"/>
    </xf>
    <xf numFmtId="0" fontId="15" fillId="0" borderId="1" xfId="0" applyFont="1" applyBorder="1" applyAlignment="1" applyProtection="1">
      <alignment horizontal="center" vertical="top"/>
      <protection locked="0"/>
    </xf>
    <xf numFmtId="0" fontId="15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3" t="str">
        <f>O9&amp;R9&amp;IF(X8="G","G","")&amp;IF(O8="Centrefold Roll","("&amp;E8&amp;")","")&amp;T9&amp;V9&amp;C22&amp;C23&amp;C24&amp;O11&amp;R11</f>
        <v>PB190G30590BKUVV</v>
      </c>
      <c r="C1" s="113"/>
      <c r="D1" s="114"/>
      <c r="E1" s="9" t="s">
        <v>57</v>
      </c>
      <c r="F1" s="89" t="s">
        <v>196</v>
      </c>
      <c r="G1" s="89"/>
      <c r="H1" s="90"/>
      <c r="I1" s="10" t="s">
        <v>181</v>
      </c>
      <c r="J1" s="86" t="s">
        <v>205</v>
      </c>
      <c r="K1" s="86"/>
      <c r="L1" s="87"/>
      <c r="M1" s="28"/>
      <c r="N1" s="9" t="s">
        <v>56</v>
      </c>
      <c r="O1" s="113" t="str">
        <f>B1</f>
        <v>PB190G30590BKUVV</v>
      </c>
      <c r="P1" s="113"/>
      <c r="Q1" s="114"/>
      <c r="R1" s="9" t="s">
        <v>57</v>
      </c>
      <c r="S1" s="113" t="str">
        <f>F1</f>
        <v>HT CONCEPTS</v>
      </c>
      <c r="T1" s="113"/>
      <c r="U1" s="114"/>
      <c r="V1" s="9" t="s">
        <v>181</v>
      </c>
      <c r="W1" s="86" t="str">
        <f>J1</f>
        <v>22.06.2022</v>
      </c>
      <c r="X1" s="86"/>
      <c r="Y1" s="87"/>
    </row>
    <row r="2" spans="1:25" ht="20.100000000000001" customHeight="1" x14ac:dyDescent="0.25">
      <c r="A2" s="9" t="s">
        <v>100</v>
      </c>
      <c r="B2" s="113" t="str">
        <f>IF(U10="","",U10)</f>
        <v>2.8L PLANTER BAG</v>
      </c>
      <c r="C2" s="113"/>
      <c r="D2" s="114"/>
      <c r="E2" s="9" t="s">
        <v>58</v>
      </c>
      <c r="F2" s="89">
        <v>950015</v>
      </c>
      <c r="G2" s="89"/>
      <c r="H2" s="90"/>
      <c r="I2" s="9" t="s">
        <v>59</v>
      </c>
      <c r="J2" s="88" t="s">
        <v>197</v>
      </c>
      <c r="K2" s="89"/>
      <c r="L2" s="90"/>
      <c r="M2" s="28"/>
      <c r="N2" s="9" t="s">
        <v>100</v>
      </c>
      <c r="O2" s="113" t="str">
        <f>IF(B2="","",B2)</f>
        <v>2.8L PLANTER BAG</v>
      </c>
      <c r="P2" s="113"/>
      <c r="Q2" s="114"/>
      <c r="R2" s="9" t="s">
        <v>58</v>
      </c>
      <c r="S2" s="113">
        <f>IF(F2="","",F2)</f>
        <v>950015</v>
      </c>
      <c r="T2" s="113"/>
      <c r="U2" s="114"/>
      <c r="V2" s="9" t="s">
        <v>59</v>
      </c>
      <c r="W2" s="124" t="str">
        <f>J2</f>
        <v>ASAP</v>
      </c>
      <c r="X2" s="113"/>
      <c r="Y2" s="114"/>
    </row>
    <row r="3" spans="1:25" ht="20.100000000000001" customHeight="1" x14ac:dyDescent="0.25">
      <c r="A3" s="115" t="s">
        <v>193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8"/>
      <c r="N3" s="115" t="str">
        <f>A3</f>
        <v>SPOT ON FINISH. USE DOLPHIN REMILL, MUST NOT BE BLOCKED.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8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8"/>
      <c r="N6" s="112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9" t="s">
        <v>49</v>
      </c>
      <c r="B7" s="110" t="s">
        <v>177</v>
      </c>
      <c r="C7" s="110"/>
      <c r="D7" s="110"/>
      <c r="E7" s="110"/>
      <c r="F7" s="110"/>
      <c r="G7" s="110"/>
      <c r="H7" s="110"/>
      <c r="I7" s="111"/>
      <c r="J7" s="77" t="s">
        <v>179</v>
      </c>
      <c r="K7" s="77"/>
      <c r="L7" s="75"/>
      <c r="M7" s="28"/>
      <c r="N7" s="9" t="str">
        <f>IF(ISNUMBER(SEARCH("roll",O8,1)),"No. Rolls","No. Cartons")</f>
        <v>No. Cartons</v>
      </c>
      <c r="O7" s="89">
        <v>15</v>
      </c>
      <c r="P7" s="90"/>
      <c r="Q7" s="9" t="str">
        <f>IF(ISNUMBER(SEARCH("roll",O8,1)),"Per Roll","Per Carton")</f>
        <v>Per Carton</v>
      </c>
      <c r="R7" s="89">
        <v>1200</v>
      </c>
      <c r="S7" s="90"/>
      <c r="T7" s="9" t="str">
        <f>IF(ISNUMBER(SEARCH("bag",O8,1)),"Total Bags","Total Sheets")</f>
        <v>Total Bags</v>
      </c>
      <c r="U7" s="113">
        <f>R7*O7</f>
        <v>18000</v>
      </c>
      <c r="V7" s="114"/>
      <c r="W7" s="9" t="s">
        <v>102</v>
      </c>
      <c r="X7" s="89" t="s">
        <v>23</v>
      </c>
      <c r="Y7" s="90"/>
    </row>
    <row r="8" spans="1:25" ht="20.100000000000001" customHeight="1" x14ac:dyDescent="0.25">
      <c r="A8" s="11" t="s">
        <v>16</v>
      </c>
      <c r="B8" s="91">
        <f>R9</f>
        <v>190</v>
      </c>
      <c r="C8" s="92"/>
      <c r="D8" s="11" t="str">
        <f>IF(ISNUMBER(SEARCH("bag",O8,1)),"Gusset","Centrefold")</f>
        <v>Gusset</v>
      </c>
      <c r="E8" s="91" t="str">
        <f>IF(O8="Centrefold Roll",B8*2,IF(X9="","None",X9))</f>
        <v>(100+90)</v>
      </c>
      <c r="F8" s="92"/>
      <c r="G8" s="11" t="s">
        <v>52</v>
      </c>
      <c r="H8" s="91">
        <f>(IF(V9&lt;30,"30",V9))</f>
        <v>90</v>
      </c>
      <c r="I8" s="92"/>
      <c r="J8" s="9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8"/>
      <c r="N8" s="12" t="s">
        <v>54</v>
      </c>
      <c r="O8" s="127" t="s">
        <v>164</v>
      </c>
      <c r="P8" s="128"/>
      <c r="Q8" s="12" t="s">
        <v>190</v>
      </c>
      <c r="R8" s="13" t="s">
        <v>16</v>
      </c>
      <c r="S8" s="13"/>
      <c r="T8" s="13" t="s">
        <v>79</v>
      </c>
      <c r="U8" s="13"/>
      <c r="V8" s="13" t="s">
        <v>80</v>
      </c>
      <c r="W8" s="14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G</v>
      </c>
      <c r="Y8" s="126"/>
    </row>
    <row r="9" spans="1:25" ht="20.100000000000001" customHeight="1" x14ac:dyDescent="0.3">
      <c r="A9" s="15" t="s">
        <v>48</v>
      </c>
      <c r="B9" s="101" t="s">
        <v>182</v>
      </c>
      <c r="C9" s="102"/>
      <c r="D9" s="109" t="str">
        <f>IF(K10="Middle","RUN 2 UP",IF(AND(O8="Centrefold Roll",B8=380),"RUN 2 UP",""))</f>
        <v/>
      </c>
      <c r="E9" s="110"/>
      <c r="F9" s="111"/>
      <c r="G9" s="15" t="s">
        <v>48</v>
      </c>
      <c r="H9" s="101" t="s">
        <v>194</v>
      </c>
      <c r="I9" s="102"/>
      <c r="J9" s="9" t="s">
        <v>55</v>
      </c>
      <c r="K9" s="89" t="s">
        <v>30</v>
      </c>
      <c r="L9" s="90"/>
      <c r="M9" s="28"/>
      <c r="N9" s="16"/>
      <c r="O9" s="129" t="str">
        <f>IF(O8="Poly Bag","PB",IF(O8="Poly Bag Roll","PBR",IF(O8="Centrefold Roll","CFR",IF(O8="Sheet","S",IF(O8="Sheet Roll","SR")))))</f>
        <v>PB</v>
      </c>
      <c r="P9" s="130"/>
      <c r="Q9" s="16"/>
      <c r="R9" s="29">
        <v>190</v>
      </c>
      <c r="S9" s="17" t="s">
        <v>78</v>
      </c>
      <c r="T9" s="29">
        <v>305</v>
      </c>
      <c r="U9" s="17" t="s">
        <v>78</v>
      </c>
      <c r="V9" s="29">
        <v>90</v>
      </c>
      <c r="W9" s="16"/>
      <c r="X9" s="138" t="s">
        <v>199</v>
      </c>
      <c r="Y9" s="139"/>
    </row>
    <row r="10" spans="1:25" ht="20.100000000000001" customHeight="1" x14ac:dyDescent="0.25">
      <c r="A10" s="9" t="s">
        <v>51</v>
      </c>
      <c r="B10" s="89">
        <v>12</v>
      </c>
      <c r="C10" s="90"/>
      <c r="D10" s="46" t="s">
        <v>134</v>
      </c>
      <c r="E10" s="103">
        <f>IF(ISNUMBER(SEARCH("sheet",O8,1)),((R9*T9*H8/540000)*U7/2000*1.3),((R9*T9*H8/540000)*U7/1000*1.08))</f>
        <v>187.75800000000001</v>
      </c>
      <c r="F10" s="104"/>
      <c r="G10" s="9" t="s">
        <v>53</v>
      </c>
      <c r="H10" s="107">
        <f>IF(ISNUMBER(SEARCH("sheet",O8,1)),(U7*T9/2000*1.08),(U7*T9/1000*1.08))</f>
        <v>5929.2000000000007</v>
      </c>
      <c r="I10" s="108"/>
      <c r="J10" s="9" t="s">
        <v>41</v>
      </c>
      <c r="K10" s="89" t="s">
        <v>44</v>
      </c>
      <c r="L10" s="90"/>
      <c r="M10" s="28"/>
      <c r="N10" s="12" t="s">
        <v>141</v>
      </c>
      <c r="O10" s="127" t="s">
        <v>189</v>
      </c>
      <c r="P10" s="128"/>
      <c r="Q10" s="12" t="s">
        <v>50</v>
      </c>
      <c r="R10" s="125" t="str">
        <f>IF(K11="NONE","None",IF(K11="INLINE","Yes",IF(K11="OUT OF LINE","Yes")))</f>
        <v>None</v>
      </c>
      <c r="S10" s="125"/>
      <c r="T10" s="12" t="s">
        <v>100</v>
      </c>
      <c r="U10" s="132" t="s">
        <v>200</v>
      </c>
      <c r="V10" s="132"/>
      <c r="W10" s="132"/>
      <c r="X10" s="132"/>
      <c r="Y10" s="133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9" t="s">
        <v>135</v>
      </c>
      <c r="E11" s="105">
        <f>E10/B10</f>
        <v>15.646500000000001</v>
      </c>
      <c r="F11" s="106"/>
      <c r="G11" s="9" t="s">
        <v>15</v>
      </c>
      <c r="H11" s="105">
        <f>H10/B10</f>
        <v>494.10000000000008</v>
      </c>
      <c r="I11" s="106"/>
      <c r="J11" s="9" t="s">
        <v>50</v>
      </c>
      <c r="K11" s="89" t="s">
        <v>44</v>
      </c>
      <c r="L11" s="90"/>
      <c r="M11" s="28"/>
      <c r="N11" s="11"/>
      <c r="O11" s="91" t="str">
        <f>IF(O10="NONE","","V")</f>
        <v>V</v>
      </c>
      <c r="P11" s="92"/>
      <c r="Q11" s="11"/>
      <c r="R11" s="91" t="str">
        <f>IF(R10="None","","P")</f>
        <v/>
      </c>
      <c r="S11" s="92"/>
      <c r="T11" s="11"/>
      <c r="U11" s="134"/>
      <c r="V11" s="134"/>
      <c r="W11" s="134"/>
      <c r="X11" s="134"/>
      <c r="Y11" s="135"/>
    </row>
    <row r="12" spans="1:25" ht="20.100000000000001" customHeight="1" x14ac:dyDescent="0.2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8"/>
      <c r="N12" s="131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9" t="s">
        <v>68</v>
      </c>
      <c r="B13" s="89" t="s">
        <v>44</v>
      </c>
      <c r="C13" s="89"/>
      <c r="D13" s="90"/>
      <c r="E13" s="18" t="s">
        <v>61</v>
      </c>
      <c r="F13" s="89" t="s">
        <v>44</v>
      </c>
      <c r="G13" s="89"/>
      <c r="H13" s="90"/>
      <c r="I13" s="9" t="s">
        <v>62</v>
      </c>
      <c r="J13" s="89" t="s">
        <v>44</v>
      </c>
      <c r="K13" s="89"/>
      <c r="L13" s="90"/>
      <c r="M13" s="28"/>
      <c r="N13" s="9" t="s">
        <v>72</v>
      </c>
      <c r="O13" s="30" t="s">
        <v>57</v>
      </c>
      <c r="P13" s="9" t="s">
        <v>73</v>
      </c>
      <c r="Q13" s="19">
        <f>O7</f>
        <v>15</v>
      </c>
      <c r="R13" s="9" t="s">
        <v>74</v>
      </c>
      <c r="S13" s="30" t="s">
        <v>23</v>
      </c>
      <c r="T13" s="9" t="s">
        <v>178</v>
      </c>
      <c r="U13" s="19" t="str">
        <f>IF(S13="No","",(ROUNDUP(U7/W13/24,0)))</f>
        <v/>
      </c>
      <c r="V13" s="59" t="s">
        <v>75</v>
      </c>
      <c r="W13" s="58">
        <v>50</v>
      </c>
      <c r="X13" s="9" t="s">
        <v>76</v>
      </c>
      <c r="Y13" s="31"/>
    </row>
    <row r="14" spans="1:25" ht="20.100000000000001" customHeight="1" x14ac:dyDescent="0.3">
      <c r="A14" s="11" t="s">
        <v>60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  <c r="M14" s="28"/>
      <c r="N14" s="131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112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8"/>
      <c r="N15" s="74" t="s">
        <v>108</v>
      </c>
      <c r="O15" s="77"/>
      <c r="P15" s="75"/>
      <c r="Q15" s="74" t="s">
        <v>107</v>
      </c>
      <c r="R15" s="77"/>
      <c r="S15" s="75"/>
      <c r="T15" s="74" t="s">
        <v>118</v>
      </c>
      <c r="U15" s="77"/>
      <c r="V15" s="75"/>
      <c r="W15" s="74" t="s">
        <v>117</v>
      </c>
      <c r="X15" s="77"/>
      <c r="Y15" s="75"/>
    </row>
    <row r="16" spans="1:25" ht="20.100000000000001" customHeight="1" x14ac:dyDescent="0.25">
      <c r="A16" s="74" t="s">
        <v>3</v>
      </c>
      <c r="B16" s="75"/>
      <c r="C16" s="74" t="s">
        <v>142</v>
      </c>
      <c r="D16" s="75"/>
      <c r="E16" s="78" t="s">
        <v>4</v>
      </c>
      <c r="F16" s="78"/>
      <c r="G16" s="78" t="s">
        <v>5</v>
      </c>
      <c r="H16" s="78"/>
      <c r="I16" s="77" t="s">
        <v>11</v>
      </c>
      <c r="J16" s="75"/>
      <c r="K16" s="77" t="s">
        <v>12</v>
      </c>
      <c r="L16" s="75"/>
      <c r="M16" s="28"/>
      <c r="N16" s="9" t="s">
        <v>28</v>
      </c>
      <c r="O16" s="89" t="s">
        <v>201</v>
      </c>
      <c r="P16" s="90"/>
      <c r="Q16" s="9" t="s">
        <v>105</v>
      </c>
      <c r="R16" s="89" t="s">
        <v>23</v>
      </c>
      <c r="S16" s="90"/>
      <c r="T16" s="10" t="s">
        <v>103</v>
      </c>
      <c r="U16" s="89" t="s">
        <v>31</v>
      </c>
      <c r="V16" s="90"/>
      <c r="W16" s="9" t="str">
        <f>IF(ISNUMBER(SEARCH("bag",O8,1)),"Total Bags","Total Sheets")</f>
        <v>Total Bags</v>
      </c>
      <c r="X16" s="141"/>
      <c r="Y16" s="142"/>
    </row>
    <row r="17" spans="1:25" ht="20.100000000000001" customHeight="1" x14ac:dyDescent="0.25">
      <c r="A17" s="76" t="s">
        <v>6</v>
      </c>
      <c r="B17" s="76"/>
      <c r="C17" s="79" t="s">
        <v>147</v>
      </c>
      <c r="D17" s="80"/>
      <c r="E17" s="84"/>
      <c r="F17" s="85"/>
      <c r="G17" s="47" t="s">
        <v>81</v>
      </c>
      <c r="H17" s="31"/>
      <c r="I17" s="84"/>
      <c r="J17" s="85"/>
      <c r="K17" s="84"/>
      <c r="L17" s="85"/>
      <c r="M17" s="28"/>
      <c r="N17" s="9" t="s">
        <v>26</v>
      </c>
      <c r="O17" s="89" t="s">
        <v>37</v>
      </c>
      <c r="P17" s="90"/>
      <c r="Q17" s="9" t="s">
        <v>104</v>
      </c>
      <c r="R17" s="89" t="s">
        <v>31</v>
      </c>
      <c r="S17" s="90"/>
      <c r="T17" s="10" t="str">
        <f>IF(ISNUMBER(SEARCH("roll",O8,1)),"Part Rolls","Part Ctns")</f>
        <v>Part Ctns</v>
      </c>
      <c r="U17" s="89" t="s">
        <v>31</v>
      </c>
      <c r="V17" s="90"/>
      <c r="W17" s="9" t="str">
        <f>IF(ISNUMBER(SEARCH("roll",O8,1)),"Total Rolls","Total Ctns")</f>
        <v>Total Ctns</v>
      </c>
      <c r="X17" s="141"/>
      <c r="Y17" s="142"/>
    </row>
    <row r="18" spans="1:25" ht="20.100000000000001" customHeight="1" x14ac:dyDescent="0.25">
      <c r="A18" s="76" t="s">
        <v>7</v>
      </c>
      <c r="B18" s="76"/>
      <c r="C18" s="79" t="s">
        <v>146</v>
      </c>
      <c r="D18" s="80"/>
      <c r="E18" s="84"/>
      <c r="F18" s="85"/>
      <c r="G18" s="47" t="s">
        <v>82</v>
      </c>
      <c r="H18" s="31"/>
      <c r="I18" s="84"/>
      <c r="J18" s="85"/>
      <c r="K18" s="84"/>
      <c r="L18" s="85"/>
      <c r="M18" s="28"/>
      <c r="N18" s="9" t="s">
        <v>101</v>
      </c>
      <c r="O18" s="89" t="s">
        <v>186</v>
      </c>
      <c r="P18" s="90"/>
      <c r="Q18" s="9" t="s">
        <v>106</v>
      </c>
      <c r="R18" s="89" t="s">
        <v>31</v>
      </c>
      <c r="S18" s="90"/>
      <c r="T18" s="20" t="s">
        <v>27</v>
      </c>
      <c r="U18" s="89" t="s">
        <v>36</v>
      </c>
      <c r="V18" s="90"/>
      <c r="W18" s="9" t="s">
        <v>109</v>
      </c>
      <c r="X18" s="141"/>
      <c r="Y18" s="142"/>
    </row>
    <row r="19" spans="1:25" ht="20.100000000000001" customHeight="1" x14ac:dyDescent="0.25">
      <c r="A19" s="76" t="s">
        <v>8</v>
      </c>
      <c r="B19" s="76"/>
      <c r="C19" s="79" t="s">
        <v>145</v>
      </c>
      <c r="D19" s="80"/>
      <c r="E19" s="84"/>
      <c r="F19" s="85"/>
      <c r="G19" s="47" t="s">
        <v>83</v>
      </c>
      <c r="H19" s="31"/>
      <c r="I19" s="84"/>
      <c r="J19" s="85"/>
      <c r="K19" s="84"/>
      <c r="L19" s="85"/>
      <c r="M19" s="28"/>
      <c r="N19" s="143" t="s">
        <v>206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</row>
    <row r="20" spans="1:25" ht="20.100000000000001" customHeight="1" x14ac:dyDescent="0.25">
      <c r="A20" s="76" t="s">
        <v>9</v>
      </c>
      <c r="B20" s="76"/>
      <c r="C20" s="79" t="s">
        <v>144</v>
      </c>
      <c r="D20" s="80"/>
      <c r="E20" s="84"/>
      <c r="F20" s="85"/>
      <c r="G20" s="47" t="s">
        <v>84</v>
      </c>
      <c r="H20" s="31"/>
      <c r="I20" s="84"/>
      <c r="J20" s="85"/>
      <c r="K20" s="84"/>
      <c r="L20" s="85"/>
      <c r="M20" s="28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</row>
    <row r="21" spans="1:25" ht="20.100000000000001" customHeight="1" x14ac:dyDescent="0.25">
      <c r="A21" s="76" t="s">
        <v>10</v>
      </c>
      <c r="B21" s="76"/>
      <c r="C21" s="79" t="s">
        <v>143</v>
      </c>
      <c r="D21" s="80"/>
      <c r="E21" s="84"/>
      <c r="F21" s="85"/>
      <c r="G21" s="47" t="s">
        <v>85</v>
      </c>
      <c r="H21" s="31"/>
      <c r="I21" s="84"/>
      <c r="J21" s="85"/>
      <c r="K21" s="84"/>
      <c r="L21" s="85"/>
      <c r="M21" s="28"/>
      <c r="N21" s="146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8"/>
    </row>
    <row r="22" spans="1:25" ht="20.100000000000001" customHeight="1" x14ac:dyDescent="0.25">
      <c r="A22" s="76" t="str">
        <f>(IF(B7="NATURAL","",B7))</f>
        <v>BLACK</v>
      </c>
      <c r="B22" s="76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0"/>
      <c r="E22" s="84"/>
      <c r="F22" s="85"/>
      <c r="G22" s="47" t="s">
        <v>86</v>
      </c>
      <c r="H22" s="31"/>
      <c r="I22" s="84"/>
      <c r="J22" s="85"/>
      <c r="K22" s="84"/>
      <c r="L22" s="85"/>
      <c r="M22" s="28"/>
      <c r="N22" s="149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1"/>
    </row>
    <row r="23" spans="1:25" ht="20.100000000000001" customHeight="1" x14ac:dyDescent="0.25">
      <c r="A23" s="81" t="s">
        <v>195</v>
      </c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0"/>
      <c r="E23" s="84"/>
      <c r="F23" s="85"/>
      <c r="G23" s="47" t="s">
        <v>87</v>
      </c>
      <c r="H23" s="31"/>
      <c r="I23" s="84"/>
      <c r="J23" s="85"/>
      <c r="K23" s="84"/>
      <c r="L23" s="85"/>
      <c r="M23" s="28"/>
      <c r="N23" s="131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47" t="s">
        <v>88</v>
      </c>
      <c r="H24" s="31"/>
      <c r="I24" s="84"/>
      <c r="J24" s="85"/>
      <c r="K24" s="84"/>
      <c r="L24" s="85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2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8"/>
      <c r="N25" s="21" t="s">
        <v>96</v>
      </c>
      <c r="O25" s="8" t="s">
        <v>203</v>
      </c>
      <c r="P25" s="33"/>
      <c r="Q25" s="8">
        <v>24</v>
      </c>
      <c r="R25" s="8">
        <v>6</v>
      </c>
      <c r="S25" s="8" t="s">
        <v>204</v>
      </c>
      <c r="T25" s="8">
        <v>10</v>
      </c>
      <c r="U25" s="8">
        <v>0</v>
      </c>
      <c r="V25" s="8">
        <v>3</v>
      </c>
      <c r="W25" s="8">
        <v>200</v>
      </c>
      <c r="X25" s="8">
        <v>200</v>
      </c>
      <c r="Y25" s="8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0" t="s">
        <v>132</v>
      </c>
      <c r="H26" s="140"/>
      <c r="I26" s="140" t="s">
        <v>131</v>
      </c>
      <c r="J26" s="140"/>
      <c r="K26" s="23" t="s">
        <v>94</v>
      </c>
      <c r="L26" s="23" t="s">
        <v>95</v>
      </c>
      <c r="M26" s="28"/>
      <c r="N26" s="112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21" t="s">
        <v>96</v>
      </c>
      <c r="B27" s="7"/>
      <c r="C27" s="7"/>
      <c r="D27" s="8">
        <v>19.399999999999999</v>
      </c>
      <c r="E27" s="60">
        <v>3</v>
      </c>
      <c r="F27" s="7"/>
      <c r="G27" s="61"/>
      <c r="H27" s="61"/>
      <c r="I27" s="61"/>
      <c r="J27" s="61"/>
      <c r="K27" s="7"/>
      <c r="L27" s="8"/>
      <c r="M27" s="28"/>
      <c r="N27" s="23" t="s">
        <v>183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191</v>
      </c>
      <c r="X27" s="23" t="s">
        <v>192</v>
      </c>
      <c r="Y27" s="23" t="s">
        <v>22</v>
      </c>
    </row>
    <row r="28" spans="1:25" ht="20.100000000000001" customHeight="1" x14ac:dyDescent="0.25">
      <c r="A28" s="21" t="s">
        <v>97</v>
      </c>
      <c r="B28" s="7">
        <v>2</v>
      </c>
      <c r="C28" s="7"/>
      <c r="D28" s="8">
        <v>43</v>
      </c>
      <c r="E28" s="60">
        <v>3.2</v>
      </c>
      <c r="F28" s="7"/>
      <c r="G28" s="61"/>
      <c r="H28" s="61"/>
      <c r="I28" s="61"/>
      <c r="J28" s="61"/>
      <c r="K28" s="7"/>
      <c r="L28" s="8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3" t="s">
        <v>99</v>
      </c>
      <c r="B29" s="94"/>
      <c r="C29" s="94"/>
      <c r="D29" s="94"/>
      <c r="E29" s="94"/>
      <c r="F29" s="136"/>
      <c r="G29" s="136"/>
      <c r="H29" s="136"/>
      <c r="I29" s="136"/>
      <c r="J29" s="136"/>
      <c r="K29" s="94"/>
      <c r="L29" s="13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4"/>
      <c r="C30" s="31"/>
      <c r="D30" s="10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4"/>
      <c r="C31" s="31"/>
      <c r="D31" s="10" t="s">
        <v>112</v>
      </c>
      <c r="E31" s="35"/>
      <c r="F31" s="39"/>
      <c r="G31" s="10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2" t="s">
        <v>116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4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71" t="s">
        <v>136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183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191</v>
      </c>
      <c r="X44" s="23" t="s">
        <v>192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69"/>
  <sheetViews>
    <sheetView topLeftCell="A25"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 t="e">
        <f>DATE(YEAR(Sheet1!J1),MONTH(Sheet1!J1)+1,DAY(Sheet1!J1))</f>
        <v>#VALUE!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 t="e">
        <f>DATE(YEAR(Sheet1!J1),MONTH(Sheet1!J1),DAY(Sheet1!J1)+21)</f>
        <v>#VALUE!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198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 t="s">
        <v>201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 t="s">
        <v>202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184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186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F7F6274-E58B-40DD-B29E-42C77A8F5BED}"/>
</file>

<file path=customXml/itemProps2.xml><?xml version="1.0" encoding="utf-8"?>
<ds:datastoreItem xmlns:ds="http://schemas.openxmlformats.org/officeDocument/2006/customXml" ds:itemID="{B90C318C-B233-4C3E-B43A-E25C92EC8515}"/>
</file>

<file path=customXml/itemProps3.xml><?xml version="1.0" encoding="utf-8"?>
<ds:datastoreItem xmlns:ds="http://schemas.openxmlformats.org/officeDocument/2006/customXml" ds:itemID="{38B5DAB7-B727-435A-BD1F-C9F512E27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2025-05-27T01:06:28Z</cp:lastPrinted>
  <dcterms:created xsi:type="dcterms:W3CDTF">2019-11-27T23:28:06Z</dcterms:created>
  <dcterms:modified xsi:type="dcterms:W3CDTF">2026-02-24T02:55:13Z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