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39815403-979D-4F0B-AB00-7D8DD5F323F5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E8" i="1" l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<sst xmlns="http://schemas.openxmlformats.org/spreadsheetml/2006/main" count="302" uniqueCount="200">
  <si>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</si>
  <si>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</si>
  <si>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</si>
  <si>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</si>
  <si>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</si>
  <si>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</si>
  <si>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</si>
  <si>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</si>
  <si>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</si>
  <si>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</si>
  <si>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</si>
  <si>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</si>
  <si>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</si>
  <si>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</si>
  <si>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</si>
  <si>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</si>
  <si>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</si>
  <si>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</si>
  <si>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</si>
  <si>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</si>
  <si>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</si>
  <si>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</si>
  <si>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</si>
  <si>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</si>
  <si>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</si>
  <si>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</si>
  <si>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</si>
  <si>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</si>
  <si>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</si>
  <si>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</si>
  <si>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</si>
  <si>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</si>
  <si>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</si>
  <si>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</si>
  <si>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</si>
  <si>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</si>
  <si>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</si>
  <si>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</si>
  <si>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</si>
  <si>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</si>
  <si>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</si>
  <si>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</si>
  <si>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</si>
  <si>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</si>
  <si>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</si>
  <si>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</si>
  <si>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</si>
  <si>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</si>
  <si>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</si>
  <si>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</si>
  <si>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</si>
  <si>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</si>
  <si>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</si>
  <si>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</si>
  <si>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</si>
  <si>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</si>
  <si>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</si>
  <si>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</si>
  <si>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</si>
  <si>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</si>
  <si>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</si>
  <si>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</si>
  <si>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</si>
  <si>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</si>
  <si>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</si>
  <si>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</si>
  <si>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</si>
  <si>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</si>
  <si>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</si>
  <si>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</si>
  <si>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</si>
  <si>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</si>
  <si>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</si>
  <si>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</si>
  <si>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</si>
  <si>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</si>
  <si>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</si>
  <si>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</si>
  <si>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</si>
  <si>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</si>
  <si>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</si>
  <si>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</si>
  <si>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</si>
  <si>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</si>
  <si>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</si>
  <si>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</si>
  <si>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</si>
  <si>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</si>
  <si>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</si>
  <si>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</si>
  <si>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</si>
  <si>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</si>
  <si>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</si>
  <si>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</si>
  <si>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</si>
  <si>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</si>
  <si>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</si>
  <si>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</si>
  <si>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</si>
  <si>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</si>
  <si>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</si>
  <si>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</si>
  <si>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</si>
  <si>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</si>
  <si>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</si>
  <si>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</si>
  <si>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</si>
  <si>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</si>
  <si>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</si>
  <si>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</si>
  <si>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</si>
  <si>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</si>
  <si>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</si>
  <si>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</si>
  <si>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</si>
  <si>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</si>
  <si>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</si>
  <si>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</si>
  <si>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</si>
  <si>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</si>
  <si>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</si>
  <si>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</si>
  <si>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</si>
  <si>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</si>
  <si>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</si>
  <si>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</si>
  <si>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</si>
  <si>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</si>
  <si>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</si>
  <si>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</si>
  <si>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</si>
  <si>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</si>
  <si>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</si>
  <si>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</si>
  <si>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</si>
  <si>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</si>
  <si>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</si>
  <si>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</si>
  <si>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</si>
  <si>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</si>
  <si>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</si>
  <si>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</si>
  <si>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</si>
  <si>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</si>
  <si>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</si>
  <si>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</si>
  <si>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</si>
  <si>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</si>
  <si>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</si>
  <si>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</si>
  <si>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</si>
  <si>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</si>
  <si>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</si>
  <si>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</si>
  <si>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</si>
  <si>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</si>
  <si>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</si>
  <si>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</si>
  <si>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</si>
  <si>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</si>
  <si>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</si>
  <si>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</si>
  <si>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</si>
  <si>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</si>
  <si>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</si>
  <si>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</si>
  <si>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</si>
  <si>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</si>
  <si>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</si>
  <si>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</si>
  <si>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</si>
  <si>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</si>
  <si>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</si>
  <si>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</si>
  <si>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</si>
  <si>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</si>
  <si>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</si>
  <si>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</si>
  <si>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</si>
  <si>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</si>
  <si>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</si>
  <si>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</si>
  <si>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</si>
  <si>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</si>
  <si>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</si>
  <si>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</si>
  <si>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</si>
  <si>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</si>
  <si>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</si>
  <si>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</si>
  <si>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</si>
  <si>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</si>
  <si>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</si>
  <si>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</si>
  <si>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</si>
  <si>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+/- 10um</t>
  </si>
  <si>
    <t>(650+550)</t>
  </si>
  <si>
    <t>GUSSET</t>
  </si>
  <si>
    <t>NEW ITEM - MUST HAVE NEAT ROLLS AND GUSSETT</t>
  </si>
  <si>
    <t>ABL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</si>
</sst>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PBR1200G800100</v>
      </c>
      <c r="C1" s="125"/>
      <c r="D1" s="126"/>
      <c r="E1" s="18" t="s">
        <v>56</v>
      </c>
      <c r="F1" s="149" t="s">
        <v>199</v>
      </c>
      <c r="G1" s="149"/>
      <c r="H1" s="150"/>
      <c r="I1" s="18" t="s">
        <v>180</v>
      </c>
      <c r="J1" s="146">
        <f ca="1">TODAY()</f>
        <v>44258</v>
      </c>
      <c r="K1" s="146"/>
      <c r="L1" s="147"/>
      <c r="M1" s="35"/>
      <c r="N1" s="18" t="s">
        <v>55</v>
      </c>
      <c r="O1" s="125" t="str">
        <f>B1</f>
        <v>PBR1200G800100</v>
      </c>
      <c r="P1" s="125"/>
      <c r="Q1" s="126"/>
      <c r="R1" s="18" t="s">
        <v>56</v>
      </c>
      <c r="S1" s="125" t="str">
        <f>F1</f>
        <v>ABL DISTRIBUTION</v>
      </c>
      <c r="T1" s="125"/>
      <c r="U1" s="126"/>
      <c r="V1" s="18" t="s">
        <v>180</v>
      </c>
      <c r="W1" s="146">
        <f ca="1">J1</f>
        <v>44258</v>
      </c>
      <c r="X1" s="146"/>
      <c r="Y1" s="147"/>
    </row>
    <row r="2" spans="1:25" ht="20.100000000000001" customHeight="1" x14ac:dyDescent="0.25">
      <c r="A2" s="18" t="s">
        <v>99</v>
      </c>
      <c r="B2" s="125">
        <f>IF(U10="","",U10)</f>
        <v>33001</v>
      </c>
      <c r="C2" s="125"/>
      <c r="D2" s="126"/>
      <c r="E2" s="18" t="s">
        <v>57</v>
      </c>
      <c r="F2" s="104">
        <v>939751</v>
      </c>
      <c r="G2" s="104"/>
      <c r="H2" s="105"/>
      <c r="I2" s="18" t="s">
        <v>58</v>
      </c>
      <c r="J2" s="103">
        <v>44289</v>
      </c>
      <c r="K2" s="104"/>
      <c r="L2" s="105"/>
      <c r="M2" s="35"/>
      <c r="N2" s="18" t="s">
        <v>99</v>
      </c>
      <c r="O2" s="125">
        <f>IF(B2="","",B2)</f>
        <v>33001</v>
      </c>
      <c r="P2" s="125"/>
      <c r="Q2" s="126"/>
      <c r="R2" s="18" t="s">
        <v>57</v>
      </c>
      <c r="S2" s="125">
        <f>IF(F2="","",F2)</f>
        <v>939751</v>
      </c>
      <c r="T2" s="125"/>
      <c r="U2" s="126"/>
      <c r="V2" s="18" t="s">
        <v>58</v>
      </c>
      <c r="W2" s="148">
        <f>J2</f>
        <v>44289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MUST HAVE NEAT ROLLS AND GUSSETT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100</v>
      </c>
      <c r="S7" s="105"/>
      <c r="T7" s="18" t="str">
        <f>IF(ISNUMBER(SEARCH("bag",O8,1)),"Total Bags","Total Sheets")</f>
        <v>Total Bags</v>
      </c>
      <c r="U7" s="125">
        <f>R7*O7</f>
        <v>1000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1200</v>
      </c>
      <c r="C8" s="116"/>
      <c r="D8" s="22" t="s">
        <v>197</v>
      </c>
      <c r="E8" s="113" t="str">
        <f>IF(O8="Centrefold Roll",B8*2,IF(X9="","None",X9))</f>
        <v>(650+550)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1200</v>
      </c>
      <c r="S9" s="25" t="s">
        <v>77</v>
      </c>
      <c r="T9" s="36">
        <v>800</v>
      </c>
      <c r="U9" s="25" t="s">
        <v>77</v>
      </c>
      <c r="V9" s="36">
        <v>100</v>
      </c>
      <c r="W9" s="24"/>
      <c r="X9" s="110" t="s">
        <v>196</v>
      </c>
      <c r="Y9" s="111"/>
    </row>
    <row r="10" spans="1:25" ht="20.100000000000001" customHeight="1" x14ac:dyDescent="0.25">
      <c r="A10" s="18" t="s">
        <v>50</v>
      </c>
      <c r="B10" s="104">
        <v>10</v>
      </c>
      <c r="C10" s="105"/>
      <c r="D10" s="56" t="s">
        <v>133</v>
      </c>
      <c r="E10" s="127">
        <f>IF(ISNUMBER(SEARCH("sheet",O8,1)),((R9*T9*H8/540000)*U7/2000*1.3),((R9*T9*H8/540000)*U7/1000*1.08))</f>
        <v>192</v>
      </c>
      <c r="F10" s="128"/>
      <c r="G10" s="18" t="s">
        <v>52</v>
      </c>
      <c r="H10" s="131">
        <f>IF(ISNUMBER(SEARCH("sheet",O8,1)),(U7*T9/2000*1.08),(U7*T9/1000*1.08))</f>
        <v>864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>
        <v>33001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19.2</v>
      </c>
      <c r="F11" s="130"/>
      <c r="G11" s="18" t="s">
        <v>14</v>
      </c>
      <c r="H11" s="129">
        <f>H10/B10</f>
        <v>86.4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44289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44279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BEC831-5745-42D0-8608-B0417D0AD03A}"/>
</file>

<file path=customXml/itemProps2.xml><?xml version="1.0" encoding="utf-8"?>
<ds:datastoreItem xmlns:ds="http://schemas.openxmlformats.org/officeDocument/2006/customXml" ds:itemID="{E3D9FB4A-43C4-4E9D-88A0-AE157574ED68}"/>
</file>

<file path=customXml/itemProps3.xml><?xml version="1.0" encoding="utf-8"?>
<ds:datastoreItem xmlns:ds="http://schemas.openxmlformats.org/officeDocument/2006/customXml" ds:itemID="{99453DA7-78E8-4478-9105-4A8A8EE81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2020-06-12T01:58:36Z</cp:lastPrinted>
  <dcterms:created xsi:type="dcterms:W3CDTF">2019-11-27T23:28:06Z</dcterms:created>
  <dcterms:modified xsi:type="dcterms:W3CDTF">2021-03-03T00:36:52Z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