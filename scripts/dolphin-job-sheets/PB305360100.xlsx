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6F55610-FFF9-4A9A-B6A5-0A01F209D3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s="1"/>
  <c r="A4" i="2" l="1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<sst xmlns="http://schemas.openxmlformats.org/spreadsheetml/2006/main" count="303" uniqueCount="199">
  <si>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</si>
  <si>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</si>
  <si>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</si>
  <si>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</si>
  <si>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</si>
  <si>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</si>
  <si>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</si>
  <si>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</si>
  <si>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</si>
  <si>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</si>
  <si>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</si>
  <si>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</si>
  <si>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</si>
  <si>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</si>
  <si>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</si>
  <si>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</si>
  <si>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</si>
  <si>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</si>
  <si>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</si>
  <si>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</si>
  <si>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</si>
  <si>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</si>
  <si>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</si>
  <si>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</si>
  <si>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</si>
  <si>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</si>
  <si>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</si>
  <si>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</si>
  <si>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</si>
  <si>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</si>
  <si>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</si>
  <si>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</si>
  <si>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</si>
  <si>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</si>
  <si>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</si>
  <si>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</si>
  <si>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</si>
  <si>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</si>
  <si>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</si>
  <si>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</si>
  <si>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</si>
  <si>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</si>
  <si>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</si>
  <si>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</si>
  <si>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</si>
  <si>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</si>
  <si>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</si>
  <si>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</si>
  <si>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</si>
  <si>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</si>
  <si>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</si>
  <si>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</si>
  <si>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</si>
  <si>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</si>
  <si>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</si>
  <si>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</si>
  <si>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</si>
  <si>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</si>
  <si>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</si>
  <si>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</si>
  <si>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</si>
  <si>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</si>
  <si>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</si>
  <si>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</si>
  <si>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</si>
  <si>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</si>
  <si>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</si>
  <si>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</si>
  <si>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</si>
  <si>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</si>
  <si>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</si>
  <si>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</si>
  <si>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</si>
  <si>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</si>
  <si>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</si>
  <si>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</si>
  <si>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</si>
  <si>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</si>
  <si>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</si>
  <si>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</si>
  <si>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</si>
  <si>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</si>
  <si>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</si>
  <si>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</si>
  <si>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</si>
  <si>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</si>
  <si>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</si>
  <si>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</si>
  <si>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</si>
  <si>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</si>
  <si>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</si>
  <si>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</si>
  <si>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</si>
  <si>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</si>
  <si>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</si>
  <si>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</si>
  <si>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</si>
  <si>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</si>
  <si>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</si>
  <si>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</si>
  <si>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</si>
  <si>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</si>
  <si>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</si>
  <si>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</si>
  <si>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</si>
  <si>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</si>
  <si>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</si>
  <si>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</si>
  <si>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</si>
  <si>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</si>
  <si>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</si>
  <si>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</si>
  <si>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</si>
  <si>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</si>
  <si>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</si>
  <si>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</si>
  <si>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</si>
  <si>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</si>
  <si>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</si>
  <si>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</si>
  <si>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</si>
  <si>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</si>
  <si>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</si>
  <si>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</si>
  <si>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</si>
  <si>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</si>
  <si>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</si>
  <si>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</si>
  <si>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</si>
  <si>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</si>
  <si>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</si>
  <si>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</si>
  <si>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</si>
  <si>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</si>
  <si>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</si>
  <si>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</si>
  <si>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</si>
  <si>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</si>
  <si>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</si>
  <si>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</si>
  <si>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</si>
  <si>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</si>
  <si>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</si>
  <si>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</si>
  <si>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</si>
  <si>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</si>
  <si>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</si>
  <si>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</si>
  <si>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</si>
  <si>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</si>
  <si>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</si>
  <si>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</si>
  <si>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</si>
  <si>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</si>
  <si>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</si>
  <si>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</si>
  <si>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</si>
  <si>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</si>
  <si>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</si>
  <si>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</si>
  <si>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</si>
  <si>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</si>
  <si>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</si>
  <si>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</si>
  <si>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</si>
  <si>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</si>
  <si>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</si>
  <si>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</si>
  <si>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</si>
  <si>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</si>
  <si>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</si>
  <si>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</si>
  <si>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</si>
  <si>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</si>
  <si>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</si>
  <si>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</si>
  <si>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</si>
  <si>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</si>
  <si>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</si>
  <si>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</si>
  <si>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</si>
  <si>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</si>
  <si>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</si>
  <si>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</si>
  <si>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</si>
  <si>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</si>
  <si>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</si>
  <si>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</si>
  <si>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</si>
  <si>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</si>
  <si>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</si>
  <si>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</si>
  <si>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</si>
  <si>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</si>
  <si>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GREEK YOGHURT CO</t>
  </si>
  <si>
    <t xml:space="preserve">NEW ITEM - NEW CUSTOMER - MUST BE FOOD GRADE - MUST HAVE WATER TIGHT SEAL - TOLLERANCE IS 5MM OVER NOT UNDER IN WIDTH  AND NOT OVER 100UM </t>
  </si>
  <si>
    <t>RUN AT 95UM</t>
  </si>
  <si>
    <t xml:space="preserve"> + 5mm / - 0MM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</si>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</sst>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8" borderId="7" xfId="0" applyFont="1" applyFill="1" applyBorder="1" applyAlignment="1" applyProtection="1">
      <alignment horizontal="center" vertical="center" wrapText="1"/>
      <protection locked="0"/>
    </xf>
    <xf numFmtId="0" fontId="15" fillId="8" borderId="3" xfId="0" applyFont="1" applyFill="1" applyBorder="1" applyAlignment="1" applyProtection="1">
      <alignment horizontal="center" vertical="center" wrapText="1"/>
      <protection locked="0"/>
    </xf>
    <xf numFmtId="0" fontId="15" fillId="8" borderId="8" xfId="0" applyFont="1" applyFill="1" applyBorder="1" applyAlignment="1" applyProtection="1">
      <alignment horizontal="center" vertical="center" wrapText="1"/>
      <protection locked="0"/>
    </xf>
    <xf numFmtId="0" fontId="15" fillId="8" borderId="9" xfId="0" applyFont="1" applyFill="1" applyBorder="1" applyAlignment="1" applyProtection="1">
      <alignment horizontal="center" vertical="center" wrapText="1"/>
      <protection locked="0"/>
    </xf>
    <xf numFmtId="0" fontId="15" fillId="8" borderId="0" xfId="0" applyFont="1" applyFill="1" applyBorder="1" applyAlignment="1" applyProtection="1">
      <alignment horizontal="center" vertical="center" wrapText="1"/>
      <protection locked="0"/>
    </xf>
    <xf numFmtId="0" fontId="15" fillId="8" borderId="10" xfId="0" applyFont="1" applyFill="1" applyBorder="1" applyAlignment="1" applyProtection="1">
      <alignment horizontal="center" vertical="center" wrapText="1"/>
      <protection locked="0"/>
    </xf>
    <xf numFmtId="0" fontId="15" fillId="8" borderId="11" xfId="0" applyFont="1" applyFill="1" applyBorder="1" applyAlignment="1" applyProtection="1">
      <alignment horizontal="center" vertical="center" wrapText="1"/>
      <protection locked="0"/>
    </xf>
    <xf numFmtId="0" fontId="15" fillId="8" borderId="1" xfId="0" applyFont="1" applyFill="1" applyBorder="1" applyAlignment="1" applyProtection="1">
      <alignment horizontal="center" vertical="center" wrapText="1"/>
      <protection locked="0"/>
    </xf>
    <xf numFmtId="0" fontId="15" fillId="8" borderId="12" xfId="0" applyFont="1" applyFill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PB305360100</v>
      </c>
      <c r="C1" s="122"/>
      <c r="D1" s="123"/>
      <c r="E1" s="12" t="s">
        <v>57</v>
      </c>
      <c r="F1" s="133" t="s">
        <v>194</v>
      </c>
      <c r="G1" s="133"/>
      <c r="H1" s="134"/>
      <c r="I1" s="13" t="s">
        <v>181</v>
      </c>
      <c r="J1" s="95">
        <f ca="1">TODAY()</f>
        <v>44354</v>
      </c>
      <c r="K1" s="95"/>
      <c r="L1" s="96"/>
      <c r="M1" s="34"/>
      <c r="N1" s="12" t="s">
        <v>56</v>
      </c>
      <c r="O1" s="122" t="str">
        <f>B1</f>
        <v>PB305360100</v>
      </c>
      <c r="P1" s="122"/>
      <c r="Q1" s="123"/>
      <c r="R1" s="12" t="s">
        <v>57</v>
      </c>
      <c r="S1" s="122" t="str">
        <f>F1</f>
        <v>GREEK YOGHURT CO</v>
      </c>
      <c r="T1" s="122"/>
      <c r="U1" s="123"/>
      <c r="V1" s="12" t="s">
        <v>181</v>
      </c>
      <c r="W1" s="95">
        <f ca="1">J1</f>
        <v>44354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940370</v>
      </c>
      <c r="G2" s="98"/>
      <c r="H2" s="99"/>
      <c r="I2" s="12" t="s">
        <v>59</v>
      </c>
      <c r="J2" s="97">
        <v>44368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940370</v>
      </c>
      <c r="T2" s="122"/>
      <c r="U2" s="123"/>
      <c r="V2" s="12" t="s">
        <v>59</v>
      </c>
      <c r="W2" s="135">
        <f>J2</f>
        <v>44368</v>
      </c>
      <c r="X2" s="122"/>
      <c r="Y2" s="123"/>
    </row>
    <row r="3" spans="1:28" ht="20.100000000000001" customHeight="1" x14ac:dyDescent="0.25">
      <c r="A3" s="124" t="s">
        <v>195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 xml:space="preserve">NEW ITEM - NEW CUSTOMER - MUST BE FOOD GRADE - MUST HAVE WATER TIGHT SEAL - TOLLERANCE IS 5MM OVER NOT UNDER IN WIDTH  AND NOT OVER 100UM 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15</v>
      </c>
      <c r="P7" s="99"/>
      <c r="Q7" s="12" t="str">
        <f>IF(ISNUMBER(SEARCH("roll",O8,1)),"Per Roll","Per Carton")</f>
        <v>Per Carton</v>
      </c>
      <c r="R7" s="98">
        <v>200</v>
      </c>
      <c r="S7" s="99"/>
      <c r="T7" s="12" t="str">
        <f>IF(ISNUMBER(SEARCH("bag",O8,1)),"Total Bags","Total Sheets")</f>
        <v>Total Bags</v>
      </c>
      <c r="U7" s="122">
        <f>R7*O7</f>
        <v>3000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305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197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196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305</v>
      </c>
      <c r="S9" s="20" t="s">
        <v>78</v>
      </c>
      <c r="T9" s="35">
        <v>360</v>
      </c>
      <c r="U9" s="20" t="s">
        <v>78</v>
      </c>
      <c r="V9" s="35">
        <v>100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3</v>
      </c>
      <c r="C10" s="99"/>
      <c r="D10" s="54" t="s">
        <v>134</v>
      </c>
      <c r="E10" s="112">
        <f>IF(ISNUMBER(SEARCH("sheet",O8,1)),((R9*T9*H8/540000)*U7/2000*1.3),((R9*T9*H8/540000)*U7/1000*1.08))</f>
        <v>65.88000000000001</v>
      </c>
      <c r="F10" s="113"/>
      <c r="G10" s="12" t="s">
        <v>53</v>
      </c>
      <c r="H10" s="116">
        <f>IF(ISNUMBER(SEARCH("sheet",O8,1)),(U7*T9/2000*1.08),(U7*T9/1000*1.08))</f>
        <v>1166.4000000000001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21.960000000000004</v>
      </c>
      <c r="F11" s="115"/>
      <c r="G11" s="12" t="s">
        <v>15</v>
      </c>
      <c r="H11" s="114">
        <f>H10/B10</f>
        <v>388.8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168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59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1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2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4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2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4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5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7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198</v>
      </c>
      <c r="P25" s="39"/>
      <c r="Q25" s="10"/>
      <c r="R25" s="10"/>
      <c r="S25" s="10"/>
      <c r="T25" s="10"/>
      <c r="U25" s="10">
        <v>2</v>
      </c>
      <c r="V25" s="10"/>
      <c r="W25" s="10">
        <v>18</v>
      </c>
      <c r="X25" s="10">
        <v>13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errorStyle="warning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44384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DATE(YEAR(Sheet1!J1),MONTH(Sheet1!J1),DAY(Sheet1!J1)+28)</f>
        <v>44382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E680D56-D419-4661-A401-416618CE79A1}"/>
</file>

<file path=customXml/itemProps2.xml><?xml version="1.0" encoding="utf-8"?>
<ds:datastoreItem xmlns:ds="http://schemas.openxmlformats.org/officeDocument/2006/customXml" ds:itemID="{C8F7FBD6-4EED-40AB-AC94-368A1D89D495}"/>
</file>

<file path=customXml/itemProps3.xml><?xml version="1.0" encoding="utf-8"?>
<ds:datastoreItem xmlns:ds="http://schemas.openxmlformats.org/officeDocument/2006/customXml" ds:itemID="{DD9D5507-8D59-4966-B42C-4CF9B2D91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2021-05-24T04:39:24Z</cp:lastPrinted>
  <dcterms:created xsi:type="dcterms:W3CDTF">2019-11-27T23:28:06Z</dcterms:created>
  <dcterms:modified xsi:type="dcterms:W3CDTF">2021-06-06T21:50:22Z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