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47FD3BF2-45AB-46C3-8641-02D3902CF403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N3" i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D9" i="1" l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<sst xmlns="http://schemas.openxmlformats.org/spreadsheetml/2006/main" count="302" uniqueCount="200">
  <si>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</si>
  <si>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</si>
  <si>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</si>
  <si>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</si>
  <si>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</si>
  <si>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</si>
  <si>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</si>
  <si>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</si>
  <si>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</si>
  <si>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</si>
  <si>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</si>
  <si>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</si>
  <si>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</si>
  <si>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</si>
  <si>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</si>
  <si>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</si>
  <si>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</si>
  <si>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</si>
  <si>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</si>
  <si>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</si>
  <si>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</si>
  <si>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</si>
  <si>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</si>
  <si>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</si>
  <si>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</si>
  <si>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</si>
  <si>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</si>
  <si>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</si>
  <si>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</si>
  <si>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</si>
  <si>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</si>
  <si>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</si>
  <si>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</si>
  <si>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</si>
  <si>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</si>
  <si>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</si>
  <si>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</si>
  <si>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</si>
  <si>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</si>
  <si>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</si>
  <si>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</si>
  <si>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</si>
  <si>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</si>
  <si>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</si>
  <si>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</si>
  <si>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</si>
  <si>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</si>
  <si>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</si>
  <si>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</si>
  <si>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</si>
  <si>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</si>
  <si>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</si>
  <si>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</si>
  <si>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</si>
  <si>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</si>
  <si>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</si>
  <si>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</si>
  <si>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</si>
  <si>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</si>
  <si>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</si>
  <si>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</si>
  <si>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</si>
  <si>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</si>
  <si>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</si>
  <si>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</si>
  <si>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</si>
  <si>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</si>
  <si>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</si>
  <si>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</si>
  <si>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</si>
  <si>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</si>
  <si>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</si>
  <si>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</si>
  <si>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</si>
  <si>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</si>
  <si>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</si>
  <si>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</si>
  <si>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</si>
  <si>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</si>
  <si>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</si>
  <si>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</si>
  <si>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</si>
  <si>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</si>
  <si>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</si>
  <si>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</si>
  <si>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</si>
  <si>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</si>
  <si>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</si>
  <si>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</si>
  <si>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</si>
  <si>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</si>
  <si>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</si>
  <si>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</si>
  <si>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</si>
  <si>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</si>
  <si>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</si>
  <si>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</si>
  <si>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</si>
  <si>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</si>
  <si>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</si>
  <si>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</si>
  <si>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</si>
  <si>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</si>
  <si>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</si>
  <si>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</si>
  <si>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</si>
  <si>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</si>
  <si>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</si>
  <si>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</si>
  <si>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</si>
  <si>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</si>
  <si>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</si>
  <si>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</si>
  <si>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</si>
  <si>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</si>
  <si>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</si>
  <si>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</si>
  <si>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</si>
  <si>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</si>
  <si>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</si>
  <si>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</si>
  <si>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</si>
  <si>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</si>
  <si>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</si>
  <si>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</si>
  <si>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</si>
  <si>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</si>
  <si>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</si>
  <si>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</si>
  <si>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</si>
  <si>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</si>
  <si>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</si>
  <si>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</si>
  <si>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</si>
  <si>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</si>
  <si>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</si>
  <si>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</si>
  <si>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</si>
  <si>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</si>
  <si>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</si>
  <si>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</si>
  <si>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</si>
  <si>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</si>
  <si>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</si>
  <si>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</si>
  <si>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</si>
  <si>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</si>
  <si>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</si>
  <si>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</si>
  <si>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</si>
  <si>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</si>
  <si>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</si>
  <si>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</si>
  <si>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</si>
  <si>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</si>
  <si>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</si>
  <si>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</si>
  <si>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</si>
  <si>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</si>
  <si>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</si>
  <si>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</si>
  <si>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</si>
  <si>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</si>
  <si>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</si>
  <si>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</si>
  <si>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</si>
  <si>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</si>
  <si>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</si>
  <si>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</si>
  <si>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</si>
  <si>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</si>
  <si>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</si>
  <si>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</si>
  <si>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</si>
  <si>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</si>
  <si>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</si>
  <si>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</si>
  <si>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</si>
  <si>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</si>
  <si>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</si>
  <si>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</si>
  <si>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</si>
  <si>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</si>
  <si>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</si>
  <si>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</si>
  <si>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</si>
  <si>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</si>
  <si>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</si>
  <si>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</si>
  <si>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</si>
  <si>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</si>
  <si>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</si>
  <si>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</si>
  <si>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</si>
  <si>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</si>
  <si>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NOT UNDER</t>
  </si>
  <si>
    <t>(460+340)</t>
  </si>
  <si>
    <t>DANCOURT</t>
  </si>
  <si>
    <t>NEW ITEM - PLEASE ENSURE NO CREASING AND GOOD CLARITY- NO STATIC IN BAGS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</si>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</sst>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15" fillId="5" borderId="4" xfId="0" applyFont="1" applyFill="1" applyBorder="1" applyAlignment="1" applyProtection="1">
      <alignment horizontal="center"/>
    </xf>
    <xf numFmtId="0" fontId="15" fillId="5" borderId="5" xfId="0" applyFont="1" applyFill="1" applyBorder="1" applyAlignment="1" applyProtection="1">
      <alignment horizontal="center"/>
    </xf>
    <xf numFmtId="10" fontId="15" fillId="5" borderId="4" xfId="0" applyNumberFormat="1" applyFont="1" applyFill="1" applyBorder="1" applyAlignment="1" applyProtection="1">
      <alignment horizontal="center"/>
      <protection locked="0"/>
    </xf>
    <xf numFmtId="10" fontId="15" fillId="5" borderId="5" xfId="0" applyNumberFormat="1" applyFont="1" applyFill="1" applyBorder="1" applyAlignment="1" applyProtection="1">
      <alignment horizontal="center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B11" sqref="AB11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4" t="str">
        <f>O9&amp;R9&amp;IF(X8="G","G","")&amp;IF(O8="Centrefold Roll","("&amp;E8&amp;")","")&amp;T9&amp;V9&amp;C22&amp;C23&amp;C24&amp;O11&amp;R11</f>
        <v>PBR800G70030AS</v>
      </c>
      <c r="C1" s="124"/>
      <c r="D1" s="125"/>
      <c r="E1" s="18" t="s">
        <v>56</v>
      </c>
      <c r="F1" s="139" t="s">
        <v>197</v>
      </c>
      <c r="G1" s="139"/>
      <c r="H1" s="140"/>
      <c r="I1" s="18" t="s">
        <v>180</v>
      </c>
      <c r="J1" s="136">
        <f ca="1">TODAY()</f>
        <v>44235</v>
      </c>
      <c r="K1" s="136"/>
      <c r="L1" s="137"/>
      <c r="M1" s="35"/>
      <c r="N1" s="18" t="s">
        <v>55</v>
      </c>
      <c r="O1" s="124" t="str">
        <f>B1</f>
        <v>PBR800G70030AS</v>
      </c>
      <c r="P1" s="124"/>
      <c r="Q1" s="125"/>
      <c r="R1" s="18" t="s">
        <v>56</v>
      </c>
      <c r="S1" s="124" t="str">
        <f>F1</f>
        <v>DANCOURT</v>
      </c>
      <c r="T1" s="124"/>
      <c r="U1" s="125"/>
      <c r="V1" s="18" t="s">
        <v>180</v>
      </c>
      <c r="W1" s="136">
        <f ca="1">J1</f>
        <v>44235</v>
      </c>
      <c r="X1" s="136"/>
      <c r="Y1" s="137"/>
    </row>
    <row r="2" spans="1:25" ht="20.100000000000001" customHeight="1" x14ac:dyDescent="0.25">
      <c r="A2" s="18" t="s">
        <v>99</v>
      </c>
      <c r="B2" s="124" t="str">
        <f>IF(U10="","",U10)</f>
        <v/>
      </c>
      <c r="C2" s="124"/>
      <c r="D2" s="125"/>
      <c r="E2" s="18" t="s">
        <v>57</v>
      </c>
      <c r="F2" s="103">
        <v>939569</v>
      </c>
      <c r="G2" s="103"/>
      <c r="H2" s="104"/>
      <c r="I2" s="18" t="s">
        <v>58</v>
      </c>
      <c r="J2" s="102">
        <v>44256</v>
      </c>
      <c r="K2" s="103"/>
      <c r="L2" s="104"/>
      <c r="M2" s="35"/>
      <c r="N2" s="18" t="s">
        <v>99</v>
      </c>
      <c r="O2" s="124" t="str">
        <f>IF(B2="","",B2)</f>
        <v/>
      </c>
      <c r="P2" s="124"/>
      <c r="Q2" s="125"/>
      <c r="R2" s="18" t="s">
        <v>57</v>
      </c>
      <c r="S2" s="124">
        <f>IF(F2="","",F2)</f>
        <v>939569</v>
      </c>
      <c r="T2" s="124"/>
      <c r="U2" s="125"/>
      <c r="V2" s="18" t="s">
        <v>58</v>
      </c>
      <c r="W2" s="138">
        <f>J2</f>
        <v>44256</v>
      </c>
      <c r="X2" s="124"/>
      <c r="Y2" s="125"/>
    </row>
    <row r="3" spans="1:25" ht="20.100000000000001" customHeight="1" x14ac:dyDescent="0.25">
      <c r="A3" s="161" t="s">
        <v>198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3"/>
      <c r="M3" s="35"/>
      <c r="N3" s="161" t="str">
        <f>A3</f>
        <v>NEW ITEM - PLEASE ENSURE NO CREASING AND GOOD CLARITY- NO STATIC IN BAGS</v>
      </c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3"/>
    </row>
    <row r="4" spans="1:25" ht="20.100000000000001" customHeight="1" x14ac:dyDescent="0.25">
      <c r="A4" s="164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6"/>
      <c r="M4" s="35"/>
      <c r="N4" s="164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6"/>
    </row>
    <row r="5" spans="1:25" ht="20.100000000000001" customHeight="1" x14ac:dyDescent="0.25">
      <c r="A5" s="167"/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9"/>
      <c r="M5" s="35"/>
      <c r="N5" s="167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9"/>
    </row>
    <row r="6" spans="1:25" ht="20.100000000000001" customHeight="1" x14ac:dyDescent="0.25">
      <c r="A6" s="118" t="s">
        <v>1</v>
      </c>
      <c r="B6" s="119"/>
      <c r="C6" s="119"/>
      <c r="D6" s="119"/>
      <c r="E6" s="119"/>
      <c r="F6" s="119"/>
      <c r="G6" s="119"/>
      <c r="H6" s="119"/>
      <c r="I6" s="119"/>
      <c r="J6" s="120"/>
      <c r="K6" s="120"/>
      <c r="L6" s="121"/>
      <c r="M6" s="35"/>
      <c r="N6" s="142" t="s">
        <v>1</v>
      </c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4"/>
    </row>
    <row r="7" spans="1:25" ht="20.100000000000001" customHeight="1" x14ac:dyDescent="0.3">
      <c r="A7" s="18" t="s">
        <v>48</v>
      </c>
      <c r="B7" s="134" t="s">
        <v>162</v>
      </c>
      <c r="C7" s="134"/>
      <c r="D7" s="134"/>
      <c r="E7" s="134"/>
      <c r="F7" s="134"/>
      <c r="G7" s="134"/>
      <c r="H7" s="134"/>
      <c r="I7" s="135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3">
        <v>4</v>
      </c>
      <c r="P7" s="104"/>
      <c r="Q7" s="18" t="str">
        <f>IF(ISNUMBER(SEARCH("roll",O8,1)),"Per Roll","Per Carton")</f>
        <v>Per Roll</v>
      </c>
      <c r="R7" s="103">
        <v>500</v>
      </c>
      <c r="S7" s="104"/>
      <c r="T7" s="18" t="str">
        <f>IF(ISNUMBER(SEARCH("bag",O8,1)),"Total Bags","Total Sheets")</f>
        <v>Total Bags</v>
      </c>
      <c r="U7" s="124">
        <f>R7*O7</f>
        <v>2000</v>
      </c>
      <c r="V7" s="125"/>
      <c r="W7" s="18" t="s">
        <v>101</v>
      </c>
      <c r="X7" s="103" t="s">
        <v>22</v>
      </c>
      <c r="Y7" s="104"/>
    </row>
    <row r="8" spans="1:25" ht="20.100000000000001" customHeight="1" x14ac:dyDescent="0.25">
      <c r="A8" s="19" t="s">
        <v>15</v>
      </c>
      <c r="B8" s="112">
        <f>R9</f>
        <v>800</v>
      </c>
      <c r="C8" s="115"/>
      <c r="D8" s="22" t="str">
        <f>IF(ISNUMBER(SEARCH("bag",#REF!,1)),"Gusset","Centrefold")</f>
        <v>Centrefold</v>
      </c>
      <c r="E8" s="112" t="str">
        <f>IF(O8="Centrefold Roll",B8*2,IF(X9="","None",X9))</f>
        <v>(460+340)</v>
      </c>
      <c r="F8" s="115"/>
      <c r="G8" s="19" t="s">
        <v>51</v>
      </c>
      <c r="H8" s="112">
        <f>(IF(V9&lt;30,"30",V9))</f>
        <v>30</v>
      </c>
      <c r="I8" s="115"/>
      <c r="J8" s="18" t="s">
        <v>53</v>
      </c>
      <c r="K8" s="124" t="str">
        <f>IF(X8="None","Layflat Tube",IF(X8="","Layflat Tube",IF(X8="CF","Layflat Tube",IF(X8="G","Gusset Tube",IF(X9="","Layflat Tube",)))))</f>
        <v>Gusset Tube</v>
      </c>
      <c r="L8" s="125"/>
      <c r="M8" s="35"/>
      <c r="N8" s="20" t="s">
        <v>53</v>
      </c>
      <c r="O8" s="113" t="s">
        <v>164</v>
      </c>
      <c r="P8" s="114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G</v>
      </c>
      <c r="Y8" s="141"/>
    </row>
    <row r="9" spans="1:25" ht="20.100000000000001" customHeight="1" x14ac:dyDescent="0.3">
      <c r="A9" s="23" t="s">
        <v>47</v>
      </c>
      <c r="B9" s="122" t="s">
        <v>194</v>
      </c>
      <c r="C9" s="123"/>
      <c r="D9" s="148" t="str">
        <f>IF(K10="Middle","RUN 2 UP",IF(AND(O8="Centrefold Roll",B8=380),"RUN 2 UP",""))</f>
        <v/>
      </c>
      <c r="E9" s="134"/>
      <c r="F9" s="135"/>
      <c r="G9" s="23" t="s">
        <v>47</v>
      </c>
      <c r="H9" s="122" t="s">
        <v>195</v>
      </c>
      <c r="I9" s="123"/>
      <c r="J9" s="18" t="s">
        <v>54</v>
      </c>
      <c r="K9" s="103" t="s">
        <v>33</v>
      </c>
      <c r="L9" s="104"/>
      <c r="M9" s="35"/>
      <c r="N9" s="24"/>
      <c r="O9" s="132" t="str">
        <f>IF(O8="Poly Bag","PB",IF(O8="Poly Bag Roll","PBR",IF(O8="Centrefold Roll","CFR",IF(O8="Sheet","S",IF(O8="Sheet Roll","SR")))))</f>
        <v>PBR</v>
      </c>
      <c r="P9" s="133"/>
      <c r="Q9" s="24"/>
      <c r="R9" s="36">
        <v>800</v>
      </c>
      <c r="S9" s="25" t="s">
        <v>77</v>
      </c>
      <c r="T9" s="36">
        <v>700</v>
      </c>
      <c r="U9" s="25" t="s">
        <v>77</v>
      </c>
      <c r="V9" s="36">
        <v>30</v>
      </c>
      <c r="W9" s="24"/>
      <c r="X9" s="109" t="s">
        <v>196</v>
      </c>
      <c r="Y9" s="110"/>
    </row>
    <row r="10" spans="1:25" ht="20.100000000000001" customHeight="1" x14ac:dyDescent="0.25">
      <c r="A10" s="18" t="s">
        <v>50</v>
      </c>
      <c r="B10" s="103">
        <v>2</v>
      </c>
      <c r="C10" s="104"/>
      <c r="D10" s="56" t="s">
        <v>133</v>
      </c>
      <c r="E10" s="126">
        <f>IF(ISNUMBER(SEARCH("sheet",O8,1)),((R9*T9*H8/540000)*U7/2000*1.3),((R9*T9*H8/540000)*U7/1000*1.08))</f>
        <v>67.2</v>
      </c>
      <c r="F10" s="127"/>
      <c r="G10" s="18" t="s">
        <v>52</v>
      </c>
      <c r="H10" s="130">
        <f>IF(ISNUMBER(SEARCH("sheet",O8,1)),(U7*T9/2000*1.08),(U7*T9/1000*1.08))</f>
        <v>1512</v>
      </c>
      <c r="I10" s="131"/>
      <c r="J10" s="18" t="s">
        <v>40</v>
      </c>
      <c r="K10" s="103" t="s">
        <v>43</v>
      </c>
      <c r="L10" s="104"/>
      <c r="M10" s="35"/>
      <c r="N10" s="26" t="s">
        <v>140</v>
      </c>
      <c r="O10" s="113" t="s">
        <v>43</v>
      </c>
      <c r="P10" s="114"/>
      <c r="Q10" s="20" t="s">
        <v>49</v>
      </c>
      <c r="R10" s="111" t="str">
        <f>IF(K11="NONE","None",IF(K11="INLINE","Yes",IF(K11="OUT OF LINE","Yes")))</f>
        <v>None</v>
      </c>
      <c r="S10" s="111"/>
      <c r="T10" s="20" t="s">
        <v>99</v>
      </c>
      <c r="U10" s="105"/>
      <c r="V10" s="105"/>
      <c r="W10" s="105"/>
      <c r="X10" s="105"/>
      <c r="Y10" s="106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8" t="s">
        <v>134</v>
      </c>
      <c r="E11" s="128">
        <f>E10/B10</f>
        <v>33.6</v>
      </c>
      <c r="F11" s="129"/>
      <c r="G11" s="18" t="s">
        <v>14</v>
      </c>
      <c r="H11" s="128">
        <f>H10/B10</f>
        <v>756</v>
      </c>
      <c r="I11" s="129"/>
      <c r="J11" s="18" t="s">
        <v>49</v>
      </c>
      <c r="K11" s="103" t="s">
        <v>43</v>
      </c>
      <c r="L11" s="104"/>
      <c r="M11" s="35"/>
      <c r="N11" s="19"/>
      <c r="O11" s="112" t="str">
        <f>IF(O10="NONE","","V")</f>
        <v/>
      </c>
      <c r="P11" s="115"/>
      <c r="Q11" s="19"/>
      <c r="R11" s="112" t="str">
        <f>IF(R10="None","","P")</f>
        <v/>
      </c>
      <c r="S11" s="112"/>
      <c r="T11" s="19"/>
      <c r="U11" s="107"/>
      <c r="V11" s="107"/>
      <c r="W11" s="107"/>
      <c r="X11" s="107"/>
      <c r="Y11" s="108"/>
    </row>
    <row r="12" spans="1:25" ht="20.100000000000001" customHeight="1" x14ac:dyDescent="0.25">
      <c r="A12" s="116" t="s">
        <v>12</v>
      </c>
      <c r="B12" s="117"/>
      <c r="C12" s="117"/>
      <c r="D12" s="117"/>
      <c r="E12" s="100"/>
      <c r="F12" s="100"/>
      <c r="G12" s="100"/>
      <c r="H12" s="100"/>
      <c r="I12" s="100"/>
      <c r="J12" s="100"/>
      <c r="K12" s="100"/>
      <c r="L12" s="101"/>
      <c r="M12" s="35"/>
      <c r="N12" s="145" t="s">
        <v>70</v>
      </c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7"/>
    </row>
    <row r="13" spans="1:25" ht="20.100000000000001" customHeight="1" x14ac:dyDescent="0.25">
      <c r="A13" s="18" t="s">
        <v>67</v>
      </c>
      <c r="B13" s="103" t="s">
        <v>43</v>
      </c>
      <c r="C13" s="103"/>
      <c r="D13" s="104"/>
      <c r="E13" s="28" t="s">
        <v>60</v>
      </c>
      <c r="F13" s="103" t="s">
        <v>43</v>
      </c>
      <c r="G13" s="103"/>
      <c r="H13" s="104"/>
      <c r="I13" s="29" t="s">
        <v>61</v>
      </c>
      <c r="J13" s="103" t="s">
        <v>43</v>
      </c>
      <c r="K13" s="103"/>
      <c r="L13" s="104"/>
      <c r="M13" s="35"/>
      <c r="N13" s="18" t="s">
        <v>71</v>
      </c>
      <c r="O13" s="37" t="s">
        <v>76</v>
      </c>
      <c r="P13" s="18" t="s">
        <v>72</v>
      </c>
      <c r="Q13" s="30">
        <f>O7</f>
        <v>4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5"/>
      <c r="M14" s="35"/>
      <c r="N14" s="154" t="s">
        <v>109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1"/>
    </row>
    <row r="15" spans="1:25" ht="20.100000000000001" customHeight="1" x14ac:dyDescent="0.25">
      <c r="A15" s="99" t="s">
        <v>181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1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3"/>
      <c r="P16" s="104"/>
      <c r="Q16" s="18" t="s">
        <v>104</v>
      </c>
      <c r="R16" s="103" t="s">
        <v>30</v>
      </c>
      <c r="S16" s="104"/>
      <c r="T16" s="18" t="s">
        <v>102</v>
      </c>
      <c r="U16" s="103" t="s">
        <v>30</v>
      </c>
      <c r="V16" s="104"/>
      <c r="W16" s="18" t="str">
        <f>IF(ISNUMBER(SEARCH("bag",O8,1)),"Total Bags","Total Sheets")</f>
        <v>Total Bags</v>
      </c>
      <c r="X16" s="149"/>
      <c r="Y16" s="15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4"/>
      <c r="F17" s="95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3"/>
      <c r="P17" s="104"/>
      <c r="Q17" s="18" t="s">
        <v>103</v>
      </c>
      <c r="R17" s="103" t="s">
        <v>30</v>
      </c>
      <c r="S17" s="104"/>
      <c r="T17" s="31" t="str">
        <f>IF(ISNUMBER(SEARCH("roll",O8,1)),"Part Rolls","Part Ctns")</f>
        <v>Part Rolls</v>
      </c>
      <c r="U17" s="103" t="s">
        <v>30</v>
      </c>
      <c r="V17" s="104"/>
      <c r="W17" s="18" t="str">
        <f>IF(ISNUMBER(SEARCH("roll",O8,1)),"Total Rolls","Total Ctns")</f>
        <v>Total Rolls</v>
      </c>
      <c r="X17" s="149"/>
      <c r="Y17" s="15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4"/>
      <c r="F18" s="95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3"/>
      <c r="P18" s="104"/>
      <c r="Q18" s="18" t="s">
        <v>105</v>
      </c>
      <c r="R18" s="103" t="s">
        <v>30</v>
      </c>
      <c r="S18" s="104"/>
      <c r="T18" s="27" t="s">
        <v>26</v>
      </c>
      <c r="U18" s="103" t="s">
        <v>35</v>
      </c>
      <c r="V18" s="104"/>
      <c r="W18" s="18" t="s">
        <v>108</v>
      </c>
      <c r="X18" s="149"/>
      <c r="Y18" s="15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4"/>
      <c r="F19" s="95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4"/>
      <c r="F20" s="95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4"/>
      <c r="F21" s="95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4"/>
      <c r="F22" s="95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3">
      <c r="A23" s="156" t="s">
        <v>199</v>
      </c>
      <c r="B23" s="156"/>
      <c r="C23" s="15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158"/>
      <c r="E23" s="159">
        <v>0.02</v>
      </c>
      <c r="F23" s="160"/>
      <c r="G23" s="39" t="s">
        <v>86</v>
      </c>
      <c r="H23" s="40"/>
      <c r="I23" s="72"/>
      <c r="J23" s="73"/>
      <c r="K23" s="72"/>
      <c r="L23" s="73"/>
      <c r="M23" s="35"/>
      <c r="N23" s="154" t="s">
        <v>132</v>
      </c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1"/>
    </row>
    <row r="24" spans="1:25" ht="20.100000000000001" customHeight="1" x14ac:dyDescent="0.25">
      <c r="A24" s="92"/>
      <c r="B24" s="93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4"/>
      <c r="F24" s="95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99" t="s">
        <v>0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1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55" t="s">
        <v>131</v>
      </c>
      <c r="H26" s="155"/>
      <c r="I26" s="155" t="s">
        <v>130</v>
      </c>
      <c r="J26" s="155"/>
      <c r="K26" s="12" t="s">
        <v>93</v>
      </c>
      <c r="L26" s="12" t="s">
        <v>94</v>
      </c>
      <c r="M26" s="35"/>
      <c r="N26" s="151" t="s">
        <v>136</v>
      </c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6" t="s">
        <v>98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8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44263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44256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5685B6F-6216-4A11-8C30-AB2DC78ED20C}"/>
</file>

<file path=customXml/itemProps2.xml><?xml version="1.0" encoding="utf-8"?>
<ds:datastoreItem xmlns:ds="http://schemas.openxmlformats.org/officeDocument/2006/customXml" ds:itemID="{2519FCB3-EDD8-4803-A708-E67EB787D2E2}"/>
</file>

<file path=customXml/itemProps3.xml><?xml version="1.0" encoding="utf-8"?>
<ds:datastoreItem xmlns:ds="http://schemas.openxmlformats.org/officeDocument/2006/customXml" ds:itemID="{4D241C0D-B0EC-43D5-9659-AEB9371C0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2021-02-08T03:42:17Z</cp:lastPrinted>
  <dcterms:created xsi:type="dcterms:W3CDTF">2019-11-27T23:28:06Z</dcterms:created>
  <dcterms:modified xsi:type="dcterms:W3CDTF">2021-02-08T03:42:28Z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