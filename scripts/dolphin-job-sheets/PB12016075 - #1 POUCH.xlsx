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F1845FD-A4AE-4893-88E8-2E6FE8228FC0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<sst xmlns="http://schemas.openxmlformats.org/spreadsheetml/2006/main" count="305" uniqueCount="200">
  <si>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</si>
  <si>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</si>
  <si>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</si>
  <si>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</si>
  <si>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</si>
  <si>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</si>
  <si>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</si>
  <si>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</si>
  <si>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</si>
  <si>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</si>
  <si>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</si>
  <si>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</si>
  <si>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</si>
  <si>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</si>
  <si>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</si>
  <si>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</si>
  <si>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</si>
  <si>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</si>
  <si>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</si>
  <si>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</si>
  <si>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</si>
  <si>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</si>
  <si>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</si>
  <si>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</si>
  <si>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</si>
  <si>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</si>
  <si>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</si>
  <si>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</si>
  <si>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</si>
  <si>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</si>
  <si>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</si>
  <si>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</si>
  <si>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</si>
  <si>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</si>
  <si>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</si>
  <si>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</si>
  <si>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</si>
  <si>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</si>
  <si>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</si>
  <si>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</si>
  <si>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</si>
  <si>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</si>
  <si>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</si>
  <si>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</si>
  <si>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</si>
  <si>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</si>
  <si>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</si>
  <si>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</si>
  <si>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</si>
  <si>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</si>
  <si>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</si>
  <si>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</si>
  <si>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</si>
  <si>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</si>
  <si>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</si>
  <si>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</si>
  <si>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</si>
  <si>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</si>
  <si>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</si>
  <si>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</si>
  <si>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</si>
  <si>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</si>
  <si>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</si>
  <si>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</si>
  <si>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</si>
  <si>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</si>
  <si>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</si>
  <si>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</si>
  <si>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</si>
  <si>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</si>
  <si>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</si>
  <si>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</si>
  <si>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</si>
  <si>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</si>
  <si>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</si>
  <si>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</si>
  <si>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</si>
  <si>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</si>
  <si>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</si>
  <si>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</si>
  <si>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</si>
  <si>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</si>
  <si>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</si>
  <si>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</si>
  <si>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</si>
  <si>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</si>
  <si>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</si>
  <si>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</si>
  <si>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</si>
  <si>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</si>
  <si>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</si>
  <si>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</si>
  <si>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</si>
  <si>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</si>
  <si>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</si>
  <si>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</si>
  <si>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</si>
  <si>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</si>
  <si>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</si>
  <si>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</si>
  <si>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</si>
  <si>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</si>
  <si>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</si>
  <si>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</si>
  <si>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</si>
  <si>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</si>
  <si>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</si>
  <si>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</si>
  <si>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</si>
  <si>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</si>
  <si>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</si>
  <si>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</si>
  <si>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</si>
  <si>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</si>
  <si>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</si>
  <si>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</si>
  <si>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</si>
  <si>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</si>
  <si>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</si>
  <si>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</si>
  <si>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</si>
  <si>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</si>
  <si>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</si>
  <si>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</si>
  <si>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</si>
  <si>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</si>
  <si>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</si>
  <si>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</si>
  <si>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</si>
  <si>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</si>
  <si>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</si>
  <si>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</si>
  <si>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</si>
  <si>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</si>
  <si>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</si>
  <si>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</si>
  <si>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</si>
  <si>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</si>
  <si>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</si>
  <si>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</si>
  <si>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</si>
  <si>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</si>
  <si>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</si>
  <si>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</si>
  <si>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</si>
  <si>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</si>
  <si>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</si>
  <si>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</si>
  <si>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</si>
  <si>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</si>
  <si>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</si>
  <si>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</si>
  <si>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</si>
  <si>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</si>
  <si>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</si>
  <si>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</si>
  <si>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</si>
  <si>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</si>
  <si>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</si>
  <si>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</si>
  <si>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</si>
  <si>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</si>
  <si>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</si>
  <si>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</si>
  <si>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</si>
  <si>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</si>
  <si>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</si>
  <si>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</si>
  <si>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</si>
  <si>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</si>
  <si>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</si>
  <si>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</si>
  <si>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</si>
  <si>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</si>
  <si>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</si>
  <si>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</si>
  <si>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</si>
  <si>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</si>
  <si>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</si>
  <si>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</si>
  <si>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</si>
  <si>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</si>
  <si>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</si>
  <si>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</si>
  <si>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</si>
  <si>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</si>
  <si>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</si>
  <si>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</si>
  <si>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</si>
  <si>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</si>
  <si>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</si>
  <si>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</si>
  <si>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</si>
  <si>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</si>
  <si>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</si>
  <si>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BE WITHIN TOLERANCE - MUST HAVE WATER TIGHT SEALS - PLEASE CHECK SEALS FREQUENTLY.</t>
  </si>
  <si>
    <t xml:space="preserve"> +/-5mm</t>
  </si>
  <si>
    <t xml:space="preserve">LIMAX </t>
  </si>
  <si>
    <t>CORALS DOWN UNDER</t>
  </si>
  <si>
    <t>#1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</si>
</sst>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PB12016075</v>
      </c>
      <c r="C1" s="123"/>
      <c r="D1" s="124"/>
      <c r="E1" s="12" t="s">
        <v>57</v>
      </c>
      <c r="F1" s="134" t="s">
        <v>198</v>
      </c>
      <c r="G1" s="134"/>
      <c r="H1" s="135"/>
      <c r="I1" s="13" t="s">
        <v>181</v>
      </c>
      <c r="J1" s="136">
        <f ca="1">TODAY()</f>
        <v>44267</v>
      </c>
      <c r="K1" s="136"/>
      <c r="L1" s="137"/>
      <c r="M1" s="34"/>
      <c r="N1" s="12" t="s">
        <v>56</v>
      </c>
      <c r="O1" s="123" t="str">
        <f>B1</f>
        <v>PB12016075</v>
      </c>
      <c r="P1" s="123"/>
      <c r="Q1" s="124"/>
      <c r="R1" s="12" t="s">
        <v>57</v>
      </c>
      <c r="S1" s="123" t="str">
        <f>F1</f>
        <v>CORALS DOWN UNDER</v>
      </c>
      <c r="T1" s="123"/>
      <c r="U1" s="124"/>
      <c r="V1" s="12" t="s">
        <v>181</v>
      </c>
      <c r="W1" s="136">
        <f ca="1">J1</f>
        <v>44267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#1 POUCH</v>
      </c>
      <c r="C2" s="123"/>
      <c r="D2" s="124"/>
      <c r="E2" s="12" t="s">
        <v>58</v>
      </c>
      <c r="F2" s="73">
        <v>939562</v>
      </c>
      <c r="G2" s="73"/>
      <c r="H2" s="74"/>
      <c r="I2" s="12" t="s">
        <v>59</v>
      </c>
      <c r="J2" s="139">
        <v>44263</v>
      </c>
      <c r="K2" s="73"/>
      <c r="L2" s="74"/>
      <c r="M2" s="34"/>
      <c r="N2" s="12" t="s">
        <v>100</v>
      </c>
      <c r="O2" s="123" t="str">
        <f>IF(B2="","",B2)</f>
        <v>#1 POUCH</v>
      </c>
      <c r="P2" s="123"/>
      <c r="Q2" s="124"/>
      <c r="R2" s="12" t="s">
        <v>58</v>
      </c>
      <c r="S2" s="123">
        <f>IF(F2="","",F2)</f>
        <v>939562</v>
      </c>
      <c r="T2" s="123"/>
      <c r="U2" s="124"/>
      <c r="V2" s="12" t="s">
        <v>59</v>
      </c>
      <c r="W2" s="138">
        <f>J2</f>
        <v>44263</v>
      </c>
      <c r="X2" s="123"/>
      <c r="Y2" s="124"/>
    </row>
    <row r="3" spans="1:28" ht="20.100000000000001" customHeight="1" x14ac:dyDescent="0.2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BE WITHIN TOLERANCE - MUST HAVE WATER TIGHT SEALS - PLEASE CHECK SEALS FREQUENTLY.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</v>
      </c>
      <c r="P7" s="74"/>
      <c r="Q7" s="12" t="str">
        <f>IF(ISNUMBER(SEARCH("roll",O8,1)),"Per Roll","Per Carton")</f>
        <v>Per Carton</v>
      </c>
      <c r="R7" s="73">
        <v>2000</v>
      </c>
      <c r="S7" s="74"/>
      <c r="T7" s="12" t="str">
        <f>IF(ISNUMBER(SEARCH("bag",O8,1)),"Total Bags","Total Sheets")</f>
        <v>Total Bags</v>
      </c>
      <c r="U7" s="123">
        <f>R7*O7</f>
        <v>20000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120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196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120</v>
      </c>
      <c r="S9" s="20" t="s">
        <v>78</v>
      </c>
      <c r="T9" s="35">
        <v>160</v>
      </c>
      <c r="U9" s="20" t="s">
        <v>78</v>
      </c>
      <c r="V9" s="35">
        <v>75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5">
        <f>IF(ISNUMBER(SEARCH("sheet",O8,1)),((R9*T9*H8/540000)*U7/2000*1.3),((R9*T9*H8/540000)*U7/1000*1.08))</f>
        <v>57.6</v>
      </c>
      <c r="F10" s="146"/>
      <c r="G10" s="12" t="s">
        <v>53</v>
      </c>
      <c r="H10" s="149">
        <f>IF(ISNUMBER(SEARCH("sheet",O8,1)),(U7*T9/2000*1.08),(U7*T9/1000*1.08))</f>
        <v>3456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199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11.52</v>
      </c>
      <c r="F11" s="148"/>
      <c r="G11" s="12" t="s">
        <v>15</v>
      </c>
      <c r="H11" s="147">
        <f>H10/B10</f>
        <v>691.2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197</v>
      </c>
      <c r="P25" s="39"/>
      <c r="Q25" s="10">
        <v>24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44298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44288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4FBA41C-9B03-4888-816E-659355EA7D92}"/>
</file>

<file path=customXml/itemProps2.xml><?xml version="1.0" encoding="utf-8"?>
<ds:datastoreItem xmlns:ds="http://schemas.openxmlformats.org/officeDocument/2006/customXml" ds:itemID="{993F19A8-70EF-4209-9D16-B92AD1585197}"/>
</file>

<file path=customXml/itemProps3.xml><?xml version="1.0" encoding="utf-8"?>
<ds:datastoreItem xmlns:ds="http://schemas.openxmlformats.org/officeDocument/2006/customXml" ds:itemID="{3D63DB60-A14C-4B51-A1EA-19B50D8AE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2021-02-08T03:12:09Z</cp:lastPrinted>
  <dcterms:created xsi:type="dcterms:W3CDTF">2019-11-27T23:28:06Z</dcterms:created>
  <dcterms:modified xsi:type="dcterms:W3CDTF">2021-03-11T22:09:31Z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