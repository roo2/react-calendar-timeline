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CD82C6A-6E9A-45B9-929A-69EAACEDD4C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<sst xmlns="http://schemas.openxmlformats.org/spreadsheetml/2006/main" count="303" uniqueCount="198">
  <si>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</si>
  <si>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</si>
  <si>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</si>
  <si>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</si>
  <si>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</si>
  <si>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</si>
  <si>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</si>
  <si>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</si>
  <si>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</si>
  <si>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</si>
  <si>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</si>
  <si>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</si>
  <si>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</si>
  <si>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</si>
  <si>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</si>
  <si>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</si>
  <si>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</si>
  <si>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</si>
  <si>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</si>
  <si>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</si>
  <si>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</si>
  <si>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</si>
  <si>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</si>
  <si>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</si>
  <si>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</si>
  <si>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</si>
  <si>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</si>
  <si>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</si>
  <si>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</si>
  <si>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</si>
  <si>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</si>
  <si>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</si>
  <si>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</si>
  <si>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</si>
  <si>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</si>
  <si>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</si>
  <si>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</si>
  <si>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</si>
  <si>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</si>
  <si>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</si>
  <si>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</si>
  <si>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</si>
  <si>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</si>
  <si>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</si>
  <si>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</si>
  <si>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</si>
  <si>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</si>
  <si>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</si>
  <si>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</si>
  <si>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</si>
  <si>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</si>
  <si>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</si>
  <si>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</si>
  <si>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</si>
  <si>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</si>
  <si>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</si>
  <si>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</si>
  <si>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</si>
  <si>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</si>
  <si>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</si>
  <si>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</si>
  <si>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</si>
  <si>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</si>
  <si>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</si>
  <si>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</si>
  <si>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</si>
  <si>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</si>
  <si>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</si>
  <si>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</si>
  <si>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</si>
  <si>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</si>
  <si>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</si>
  <si>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</si>
  <si>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</si>
  <si>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</si>
  <si>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</si>
  <si>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</si>
  <si>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</si>
  <si>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</si>
  <si>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</si>
  <si>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</si>
  <si>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</si>
  <si>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</si>
  <si>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</si>
  <si>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</si>
  <si>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</si>
  <si>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</si>
  <si>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</si>
  <si>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</si>
  <si>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</si>
  <si>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</si>
  <si>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</si>
  <si>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</si>
  <si>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</si>
  <si>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</si>
  <si>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</si>
  <si>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</si>
  <si>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</si>
  <si>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</si>
  <si>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</si>
  <si>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</si>
  <si>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</si>
  <si>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</si>
  <si>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</si>
  <si>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</si>
  <si>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</si>
  <si>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</si>
  <si>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</si>
  <si>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</si>
  <si>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</si>
  <si>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</si>
  <si>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</si>
  <si>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</si>
  <si>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</si>
  <si>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</si>
  <si>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</si>
  <si>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</si>
  <si>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</si>
  <si>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</si>
  <si>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</si>
  <si>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</si>
  <si>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</si>
  <si>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</si>
  <si>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</si>
  <si>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</si>
  <si>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</si>
  <si>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</si>
  <si>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</si>
  <si>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</si>
  <si>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</si>
  <si>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</si>
  <si>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</si>
  <si>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</si>
  <si>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</si>
  <si>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</si>
  <si>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</si>
  <si>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</si>
  <si>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</si>
  <si>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</si>
  <si>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</si>
  <si>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</si>
  <si>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</si>
  <si>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</si>
  <si>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</si>
  <si>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</si>
  <si>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</si>
  <si>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</si>
  <si>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</si>
  <si>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</si>
  <si>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</si>
  <si>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</si>
  <si>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</si>
  <si>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</si>
  <si>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</si>
  <si>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</si>
  <si>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</si>
  <si>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</si>
  <si>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</si>
  <si>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</si>
  <si>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</si>
  <si>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</si>
  <si>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</si>
  <si>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</si>
  <si>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</si>
  <si>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</si>
  <si>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</si>
  <si>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</si>
  <si>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</si>
  <si>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</si>
  <si>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</si>
  <si>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</si>
  <si>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</si>
  <si>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</si>
  <si>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</si>
  <si>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</si>
  <si>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</si>
  <si>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</si>
  <si>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</si>
  <si>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</si>
  <si>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</si>
  <si>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</si>
  <si>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</si>
  <si>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</si>
  <si>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</si>
  <si>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</si>
  <si>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</si>
  <si>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</si>
  <si>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</si>
  <si>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</si>
  <si>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</si>
  <si>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</si>
  <si>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</si>
  <si>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</si>
  <si>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</si>
  <si>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</si>
  <si>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NOT OVER</t>
  </si>
  <si>
    <t>LIVE CORALS</t>
  </si>
  <si>
    <t>BAG MUST NOT BE OVER 170MM - LIVE FISH TRANSPORT - MUST HAVE WATERTIGHT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</si>
</sst>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6" fillId="5" borderId="4" xfId="0" applyFont="1" applyFill="1" applyBorder="1"/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7" fillId="5" borderId="2" xfId="0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B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PB17538065</v>
      </c>
      <c r="C1" s="112"/>
      <c r="D1" s="113"/>
      <c r="E1" s="11" t="s">
        <v>57</v>
      </c>
      <c r="F1" s="88" t="s">
        <v>196</v>
      </c>
      <c r="G1" s="88"/>
      <c r="H1" s="89"/>
      <c r="I1" s="12" t="s">
        <v>181</v>
      </c>
      <c r="J1" s="85">
        <f ca="1">TODAY()</f>
        <v>45335</v>
      </c>
      <c r="K1" s="85"/>
      <c r="L1" s="86"/>
      <c r="M1" s="29"/>
      <c r="N1" s="11" t="s">
        <v>56</v>
      </c>
      <c r="O1" s="112" t="str">
        <f>B1</f>
        <v>PB17538065</v>
      </c>
      <c r="P1" s="112"/>
      <c r="Q1" s="113"/>
      <c r="R1" s="11" t="s">
        <v>57</v>
      </c>
      <c r="S1" s="112" t="str">
        <f>F1</f>
        <v>LIVE CORALS</v>
      </c>
      <c r="T1" s="112"/>
      <c r="U1" s="113"/>
      <c r="V1" s="11" t="s">
        <v>181</v>
      </c>
      <c r="W1" s="85">
        <f ca="1">J1</f>
        <v>45335</v>
      </c>
      <c r="X1" s="85"/>
      <c r="Y1" s="86"/>
    </row>
    <row r="2" spans="1:25" ht="20.149999999999999" customHeight="1" x14ac:dyDescent="0.8">
      <c r="A2" s="11" t="s">
        <v>100</v>
      </c>
      <c r="B2" s="112" t="str">
        <f>IF(U10="","",U10)</f>
        <v/>
      </c>
      <c r="C2" s="112"/>
      <c r="D2" s="113"/>
      <c r="E2" s="11" t="s">
        <v>58</v>
      </c>
      <c r="F2" s="88">
        <v>939646</v>
      </c>
      <c r="G2" s="88"/>
      <c r="H2" s="89"/>
      <c r="I2" s="11" t="s">
        <v>59</v>
      </c>
      <c r="J2" s="87">
        <v>44278</v>
      </c>
      <c r="K2" s="88"/>
      <c r="L2" s="89"/>
      <c r="M2" s="29"/>
      <c r="N2" s="11" t="s">
        <v>100</v>
      </c>
      <c r="O2" s="112" t="str">
        <f>IF(B2="","",B2)</f>
        <v/>
      </c>
      <c r="P2" s="112"/>
      <c r="Q2" s="113"/>
      <c r="R2" s="11" t="s">
        <v>58</v>
      </c>
      <c r="S2" s="112">
        <f>IF(F2="","",F2)</f>
        <v>939646</v>
      </c>
      <c r="T2" s="112"/>
      <c r="U2" s="113"/>
      <c r="V2" s="11" t="s">
        <v>59</v>
      </c>
      <c r="W2" s="123">
        <f>J2</f>
        <v>44278</v>
      </c>
      <c r="X2" s="112"/>
      <c r="Y2" s="113"/>
    </row>
    <row r="3" spans="1:25" ht="20.149999999999999" customHeight="1" x14ac:dyDescent="0.75">
      <c r="A3" s="114" t="s">
        <v>197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14" t="str">
        <f>A3</f>
        <v>BAG MUST NOT BE OVER 170MM - LIVE FISH TRANSPORT - MUST HAVE WATERTIGHT SEALS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29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1" t="s">
        <v>49</v>
      </c>
      <c r="B7" s="109" t="s">
        <v>163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29"/>
      <c r="N7" s="11" t="str">
        <f>IF(ISNUMBER(SEARCH("roll",O8,1)),"No. Rolls","No. Cartons")</f>
        <v>No. Cartons</v>
      </c>
      <c r="O7" s="88">
        <v>60</v>
      </c>
      <c r="P7" s="89"/>
      <c r="Q7" s="11" t="str">
        <f>IF(ISNUMBER(SEARCH("roll",O8,1)),"Per Roll","Per Carton")</f>
        <v>Per Carton</v>
      </c>
      <c r="R7" s="88">
        <v>500</v>
      </c>
      <c r="S7" s="89"/>
      <c r="T7" s="11" t="str">
        <f>IF(ISNUMBER(SEARCH("bag",O8,1)),"Total Bags","Total Sheets")</f>
        <v>Total Bags</v>
      </c>
      <c r="U7" s="112">
        <f>R7*O7</f>
        <v>30000</v>
      </c>
      <c r="V7" s="113"/>
      <c r="W7" s="11" t="s">
        <v>102</v>
      </c>
      <c r="X7" s="88" t="s">
        <v>23</v>
      </c>
      <c r="Y7" s="89"/>
    </row>
    <row r="8" spans="1:25" ht="20.149999999999999" customHeight="1" x14ac:dyDescent="0.8">
      <c r="A8" s="13" t="s">
        <v>16</v>
      </c>
      <c r="B8" s="90">
        <f>R9</f>
        <v>175</v>
      </c>
      <c r="C8" s="91"/>
      <c r="D8" s="27" t="str">
        <f>IF(ISNUMBER(SEARCH("bag",O8,1)),"Gusset","Centrefold")</f>
        <v>Gusset</v>
      </c>
      <c r="E8" s="90" t="str">
        <f>IF(O8="Centrefold Roll",B8*2,IF(X9="","None",X9))</f>
        <v>None</v>
      </c>
      <c r="F8" s="91"/>
      <c r="G8" s="13" t="s">
        <v>52</v>
      </c>
      <c r="H8" s="90">
        <f>(IF(V9&lt;30,"30",V9))</f>
        <v>65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100" t="s">
        <v>195</v>
      </c>
      <c r="C9" s="101"/>
      <c r="D9" s="108" t="str">
        <f>IF(K10="Middle","RUN 2 UP",IF(AND(O8="Centrefold Roll",B8=380),"RUN 2 UP",""))</f>
        <v/>
      </c>
      <c r="E9" s="109"/>
      <c r="F9" s="110"/>
      <c r="G9" s="16" t="s">
        <v>48</v>
      </c>
      <c r="H9" s="100" t="s">
        <v>194</v>
      </c>
      <c r="I9" s="101"/>
      <c r="J9" s="11" t="s">
        <v>55</v>
      </c>
      <c r="K9" s="88" t="s">
        <v>30</v>
      </c>
      <c r="L9" s="89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175</v>
      </c>
      <c r="S9" s="18" t="s">
        <v>78</v>
      </c>
      <c r="T9" s="30">
        <v>380</v>
      </c>
      <c r="U9" s="18" t="s">
        <v>78</v>
      </c>
      <c r="V9" s="30">
        <v>65</v>
      </c>
      <c r="W9" s="17"/>
      <c r="X9" s="137"/>
      <c r="Y9" s="138"/>
    </row>
    <row r="10" spans="1:25" ht="20.149999999999999" customHeight="1" x14ac:dyDescent="0.8">
      <c r="A10" s="11" t="s">
        <v>51</v>
      </c>
      <c r="B10" s="88">
        <v>20</v>
      </c>
      <c r="C10" s="89"/>
      <c r="D10" s="47" t="s">
        <v>134</v>
      </c>
      <c r="E10" s="102">
        <f>IF(ISNUMBER(SEARCH("sheet",O8,1)),((R9*T9*H8/540000)*U7/2000*1.3),((R9*T9*H8/540000)*U7/1000*1.08))</f>
        <v>259.35000000000002</v>
      </c>
      <c r="F10" s="103"/>
      <c r="G10" s="11" t="s">
        <v>53</v>
      </c>
      <c r="H10" s="106">
        <f>IF(ISNUMBER(SEARCH("sheet",O8,1)),(U7*T9/2000*1.08),(U7*T9/1000*1.08))</f>
        <v>12312</v>
      </c>
      <c r="I10" s="107"/>
      <c r="J10" s="11" t="s">
        <v>41</v>
      </c>
      <c r="K10" s="88" t="s">
        <v>44</v>
      </c>
      <c r="L10" s="89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12.967500000000001</v>
      </c>
      <c r="F11" s="105"/>
      <c r="G11" s="11" t="s">
        <v>15</v>
      </c>
      <c r="H11" s="104">
        <f>H10/B10</f>
        <v>615.6</v>
      </c>
      <c r="I11" s="105"/>
      <c r="J11" s="11" t="s">
        <v>50</v>
      </c>
      <c r="K11" s="88" t="s">
        <v>44</v>
      </c>
      <c r="L11" s="89"/>
      <c r="M11" s="29"/>
      <c r="N11" s="13"/>
      <c r="O11" s="90" t="str">
        <f>IF(O10="NONE","","V")</f>
        <v/>
      </c>
      <c r="P11" s="91"/>
      <c r="Q11" s="13"/>
      <c r="R11" s="90" t="str">
        <f>IF(R10="None","","P")</f>
        <v/>
      </c>
      <c r="S11" s="91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29"/>
      <c r="N12" s="130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1" t="s">
        <v>68</v>
      </c>
      <c r="B13" s="88" t="s">
        <v>44</v>
      </c>
      <c r="C13" s="88"/>
      <c r="D13" s="89"/>
      <c r="E13" s="19" t="s">
        <v>61</v>
      </c>
      <c r="F13" s="88" t="s">
        <v>44</v>
      </c>
      <c r="G13" s="88"/>
      <c r="H13" s="89"/>
      <c r="I13" s="11" t="s">
        <v>62</v>
      </c>
      <c r="J13" s="88" t="s">
        <v>44</v>
      </c>
      <c r="K13" s="88"/>
      <c r="L13" s="89"/>
      <c r="M13" s="29"/>
      <c r="N13" s="11" t="s">
        <v>72</v>
      </c>
      <c r="O13" s="31" t="s">
        <v>77</v>
      </c>
      <c r="P13" s="11" t="s">
        <v>73</v>
      </c>
      <c r="Q13" s="20">
        <f>O7</f>
        <v>60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29"/>
      <c r="N14" s="130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29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29"/>
      <c r="N16" s="11" t="s">
        <v>28</v>
      </c>
      <c r="O16" s="88" t="s">
        <v>38</v>
      </c>
      <c r="P16" s="89"/>
      <c r="Q16" s="59" t="s">
        <v>105</v>
      </c>
      <c r="R16" s="142" t="s">
        <v>31</v>
      </c>
      <c r="S16" s="143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8" t="s">
        <v>81</v>
      </c>
      <c r="H17" s="32"/>
      <c r="I17" s="83"/>
      <c r="J17" s="84"/>
      <c r="K17" s="83"/>
      <c r="L17" s="84"/>
      <c r="M17" s="29"/>
      <c r="N17" s="11" t="s">
        <v>26</v>
      </c>
      <c r="O17" s="88" t="s">
        <v>35</v>
      </c>
      <c r="P17" s="89"/>
      <c r="Q17" s="59" t="s">
        <v>104</v>
      </c>
      <c r="R17" s="142" t="s">
        <v>31</v>
      </c>
      <c r="S17" s="143"/>
      <c r="T17" s="12" t="str">
        <f>IF(ISNUMBER(SEARCH("roll",O8,1)),"Part Rolls","Part Ctns")</f>
        <v>Part Ctns</v>
      </c>
      <c r="U17" s="88" t="s">
        <v>31</v>
      </c>
      <c r="V17" s="89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8" t="s">
        <v>82</v>
      </c>
      <c r="H18" s="32"/>
      <c r="I18" s="83"/>
      <c r="J18" s="84"/>
      <c r="K18" s="83"/>
      <c r="L18" s="84"/>
      <c r="M18" s="29"/>
      <c r="N18" s="11" t="s">
        <v>101</v>
      </c>
      <c r="O18" s="88" t="s">
        <v>38</v>
      </c>
      <c r="P18" s="89"/>
      <c r="Q18" s="11" t="s">
        <v>106</v>
      </c>
      <c r="R18" s="88" t="s">
        <v>31</v>
      </c>
      <c r="S18" s="89"/>
      <c r="T18" s="21" t="s">
        <v>27</v>
      </c>
      <c r="U18" s="88" t="s">
        <v>36</v>
      </c>
      <c r="V18" s="89"/>
      <c r="W18" s="11" t="s">
        <v>109</v>
      </c>
      <c r="X18" s="140"/>
      <c r="Y18" s="141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8" t="s">
        <v>83</v>
      </c>
      <c r="H19" s="32"/>
      <c r="I19" s="83"/>
      <c r="J19" s="84"/>
      <c r="K19" s="83"/>
      <c r="L19" s="84"/>
      <c r="M19" s="29"/>
      <c r="N19" s="61" t="s">
        <v>116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8" t="s">
        <v>84</v>
      </c>
      <c r="H20" s="32"/>
      <c r="I20" s="83"/>
      <c r="J20" s="84"/>
      <c r="K20" s="83"/>
      <c r="L20" s="84"/>
      <c r="M20" s="29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6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8" t="s">
        <v>85</v>
      </c>
      <c r="H21" s="32"/>
      <c r="I21" s="83"/>
      <c r="J21" s="84"/>
      <c r="K21" s="83"/>
      <c r="L21" s="84"/>
      <c r="M21" s="29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6"/>
    </row>
    <row r="22" spans="1:25" ht="20.149999999999999" customHeight="1" x14ac:dyDescent="0.75">
      <c r="A22" s="75" t="str">
        <f>(IF(B7="NATURAL","",B7))</f>
        <v/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83"/>
      <c r="F22" s="84"/>
      <c r="G22" s="48" t="s">
        <v>86</v>
      </c>
      <c r="H22" s="32"/>
      <c r="I22" s="83"/>
      <c r="J22" s="84"/>
      <c r="K22" s="83"/>
      <c r="L22" s="84"/>
      <c r="M22" s="29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9"/>
    </row>
    <row r="23" spans="1:25" ht="20.149999999999999" customHeight="1" x14ac:dyDescent="0.7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83"/>
      <c r="F23" s="84"/>
      <c r="G23" s="48" t="s">
        <v>87</v>
      </c>
      <c r="H23" s="32"/>
      <c r="I23" s="83"/>
      <c r="J23" s="84"/>
      <c r="K23" s="83"/>
      <c r="L23" s="84"/>
      <c r="M23" s="29"/>
      <c r="N23" s="130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8" t="s">
        <v>88</v>
      </c>
      <c r="H24" s="32"/>
      <c r="I24" s="83"/>
      <c r="J24" s="84"/>
      <c r="K24" s="83"/>
      <c r="L24" s="84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35"/>
      <c r="G29" s="135"/>
      <c r="H29" s="135"/>
      <c r="I29" s="135"/>
      <c r="J29" s="135"/>
      <c r="K29" s="93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45364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45356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E51BBE5-82FE-4735-A024-F7129E454F8E}"/>
</file>

<file path=customXml/itemProps2.xml><?xml version="1.0" encoding="utf-8"?>
<ds:datastoreItem xmlns:ds="http://schemas.openxmlformats.org/officeDocument/2006/customXml" ds:itemID="{ECA035D1-781C-49E5-A42F-F34695537E29}"/>
</file>

<file path=customXml/itemProps3.xml><?xml version="1.0" encoding="utf-8"?>
<ds:datastoreItem xmlns:ds="http://schemas.openxmlformats.org/officeDocument/2006/customXml" ds:itemID="{FFD95A21-2C5C-40BB-9CEC-488BEB13A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2021-02-23T00:58:38Z</cp:lastPrinted>
  <dcterms:created xsi:type="dcterms:W3CDTF">2019-11-27T23:28:06Z</dcterms:created>
  <dcterms:modified xsi:type="dcterms:W3CDTF">2024-02-13T04:13:32Z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