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CB87827-6554-48E1-8672-3B2766E67DF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<sst xmlns="http://schemas.openxmlformats.org/spreadsheetml/2006/main" count="303" uniqueCount="199">
  <si>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</si>
  <si>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</si>
  <si>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</si>
  <si>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</si>
  <si>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</si>
  <si>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</si>
  <si>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</si>
  <si>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</si>
  <si>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</si>
  <si>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</si>
  <si>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</si>
  <si>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</si>
  <si>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</si>
  <si>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</si>
  <si>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</si>
  <si>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</si>
  <si>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</si>
  <si>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</si>
  <si>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</si>
  <si>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</si>
  <si>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</si>
  <si>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</si>
  <si>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</si>
  <si>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</si>
  <si>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</si>
  <si>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</si>
  <si>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</si>
  <si>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</si>
  <si>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</si>
  <si>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</si>
  <si>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</si>
  <si>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</si>
  <si>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</si>
  <si>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</si>
  <si>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</si>
  <si>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</si>
  <si>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</si>
  <si>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</si>
  <si>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</si>
  <si>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</si>
  <si>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</si>
  <si>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</si>
  <si>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</si>
  <si>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</si>
  <si>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</si>
  <si>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</si>
  <si>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</si>
  <si>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</si>
  <si>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</si>
  <si>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</si>
  <si>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</si>
  <si>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</si>
  <si>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</si>
  <si>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</si>
  <si>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</si>
  <si>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</si>
  <si>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</si>
  <si>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</si>
  <si>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</si>
  <si>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</si>
  <si>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</si>
  <si>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</si>
  <si>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</si>
  <si>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</si>
  <si>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</si>
  <si>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</si>
  <si>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</si>
  <si>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</si>
  <si>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</si>
  <si>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</si>
  <si>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</si>
  <si>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</si>
  <si>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</si>
  <si>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</si>
  <si>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</si>
  <si>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</si>
  <si>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</si>
  <si>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</si>
  <si>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</si>
  <si>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</si>
  <si>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</si>
  <si>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</si>
  <si>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</si>
  <si>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</si>
  <si>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</si>
  <si>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</si>
  <si>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</si>
  <si>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</si>
  <si>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</si>
  <si>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</si>
  <si>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</si>
  <si>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</si>
  <si>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</si>
  <si>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</si>
  <si>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</si>
  <si>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</si>
  <si>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</si>
  <si>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</si>
  <si>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</si>
  <si>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</si>
  <si>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</si>
  <si>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</si>
  <si>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</si>
  <si>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</si>
  <si>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</si>
  <si>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</si>
  <si>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</si>
  <si>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</si>
  <si>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</si>
  <si>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</si>
  <si>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</si>
  <si>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</si>
  <si>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</si>
  <si>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</si>
  <si>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</si>
  <si>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</si>
  <si>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</si>
  <si>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</si>
  <si>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</si>
  <si>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</si>
  <si>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</si>
  <si>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</si>
  <si>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</si>
  <si>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</si>
  <si>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</si>
  <si>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</si>
  <si>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</si>
  <si>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</si>
  <si>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</si>
  <si>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</si>
  <si>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</si>
  <si>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</si>
  <si>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</si>
  <si>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</si>
  <si>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</si>
  <si>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</si>
  <si>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</si>
  <si>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</si>
  <si>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</si>
  <si>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</si>
  <si>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</si>
  <si>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</si>
  <si>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</si>
  <si>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</si>
  <si>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</si>
  <si>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</si>
  <si>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</si>
  <si>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</si>
  <si>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</si>
  <si>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</si>
  <si>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</si>
  <si>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</si>
  <si>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</si>
  <si>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</si>
  <si>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</si>
  <si>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</si>
  <si>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</si>
  <si>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</si>
  <si>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</si>
  <si>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</si>
  <si>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</si>
  <si>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</si>
  <si>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</si>
  <si>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</si>
  <si>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</si>
  <si>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</si>
  <si>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</si>
  <si>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</si>
  <si>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</si>
  <si>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</si>
  <si>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</si>
  <si>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</si>
  <si>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</si>
  <si>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</si>
  <si>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</si>
  <si>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</si>
  <si>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</si>
  <si>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</si>
  <si>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</si>
  <si>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</si>
  <si>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</si>
  <si>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</si>
  <si>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</si>
  <si>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</si>
  <si>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</si>
  <si>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</si>
  <si>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</si>
  <si>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</si>
  <si>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</si>
  <si>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</si>
  <si>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</si>
  <si>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</si>
  <si>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</si>
  <si>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</si>
  <si>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</si>
  <si>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+/- 5mm</t>
  </si>
  <si>
    <t xml:space="preserve">LIMAX </t>
  </si>
  <si>
    <t>100% REEF SAFE</t>
  </si>
  <si>
    <t>NEW ITEM - MUST HAVE WATER 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</si>
</sst>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PB10530550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43993</v>
      </c>
      <c r="K1" s="95"/>
      <c r="L1" s="96"/>
      <c r="M1" s="34"/>
      <c r="N1" s="12" t="s">
        <v>56</v>
      </c>
      <c r="O1" s="122" t="str">
        <f>B1</f>
        <v>PB10530550</v>
      </c>
      <c r="P1" s="122"/>
      <c r="Q1" s="123"/>
      <c r="R1" s="12" t="s">
        <v>57</v>
      </c>
      <c r="S1" s="122" t="str">
        <f>F1</f>
        <v>100% REEF SAFE</v>
      </c>
      <c r="T1" s="122"/>
      <c r="U1" s="123"/>
      <c r="V1" s="12" t="s">
        <v>181</v>
      </c>
      <c r="W1" s="95">
        <f ca="1">J1</f>
        <v>43993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937237</v>
      </c>
      <c r="G2" s="98"/>
      <c r="H2" s="99"/>
      <c r="I2" s="12" t="s">
        <v>59</v>
      </c>
      <c r="J2" s="97">
        <v>43984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937237</v>
      </c>
      <c r="T2" s="122"/>
      <c r="U2" s="123"/>
      <c r="V2" s="12" t="s">
        <v>59</v>
      </c>
      <c r="W2" s="135">
        <f>J2</f>
        <v>43984</v>
      </c>
      <c r="X2" s="122"/>
      <c r="Y2" s="123"/>
    </row>
    <row r="3" spans="1:28" ht="20.05" customHeight="1" x14ac:dyDescent="0.3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NEW ITEM - 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3000</v>
      </c>
      <c r="S7" s="99"/>
      <c r="T7" s="12" t="str">
        <f>IF(ISNUMBER(SEARCH("bag",O8,1)),"Total Bags","Total Sheets")</f>
        <v>Total Bags</v>
      </c>
      <c r="U7" s="122">
        <f>R7*O7</f>
        <v>18000</v>
      </c>
      <c r="V7" s="123"/>
      <c r="W7" s="12" t="s">
        <v>102</v>
      </c>
      <c r="X7" s="98" t="s">
        <v>31</v>
      </c>
      <c r="Y7" s="99"/>
      <c r="AB7" s="14"/>
    </row>
    <row r="8" spans="1:28" ht="20.05" customHeight="1" x14ac:dyDescent="0.3">
      <c r="A8" s="15" t="s">
        <v>16</v>
      </c>
      <c r="B8" s="100">
        <f>R9</f>
        <v>105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105</v>
      </c>
      <c r="S9" s="20" t="s">
        <v>78</v>
      </c>
      <c r="T9" s="35">
        <v>305</v>
      </c>
      <c r="U9" s="20" t="s">
        <v>78</v>
      </c>
      <c r="V9" s="35">
        <v>50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6</v>
      </c>
      <c r="C10" s="99"/>
      <c r="D10" s="54" t="s">
        <v>134</v>
      </c>
      <c r="E10" s="112">
        <f>IF(ISNUMBER(SEARCH("sheet",O8,1)),((R9*T9*H8/540000)*U7/2000*1.3),((R9*T9*H8/540000)*U7/1000*1.08))</f>
        <v>57.645000000000003</v>
      </c>
      <c r="F10" s="113"/>
      <c r="G10" s="12" t="s">
        <v>53</v>
      </c>
      <c r="H10" s="116">
        <f>IF(ISNUMBER(SEARCH("sheet",O8,1)),(U7*T9/2000*1.08),(U7*T9/1000*1.08))</f>
        <v>5929.2000000000007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9.6074999999999999</v>
      </c>
      <c r="F11" s="115"/>
      <c r="G11" s="12" t="s">
        <v>15</v>
      </c>
      <c r="H11" s="114">
        <f>H10/B10</f>
        <v>988.20000000000016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44023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8C546B2-48C7-4BE6-B8FD-DC9461D5F32A}"/>
</file>

<file path=customXml/itemProps2.xml><?xml version="1.0" encoding="utf-8"?>
<ds:datastoreItem xmlns:ds="http://schemas.openxmlformats.org/officeDocument/2006/customXml" ds:itemID="{D5D466E4-11F7-4B0F-AFCE-80B6767D8734}"/>
</file>

<file path=customXml/itemProps3.xml><?xml version="1.0" encoding="utf-8"?>
<ds:datastoreItem xmlns:ds="http://schemas.openxmlformats.org/officeDocument/2006/customXml" ds:itemID="{9721D951-FC28-4EFD-B6A8-5568F7C48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2020-06-11T01:24:49Z</cp:lastPrinted>
  <dcterms:created xsi:type="dcterms:W3CDTF">2019-11-27T23:28:06Z</dcterms:created>
  <dcterms:modified xsi:type="dcterms:W3CDTF">2020-06-11T01:25:29Z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