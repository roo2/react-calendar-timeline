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E8A095D-9120-4209-888F-EBE9AE163C7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<sst xmlns="http://schemas.openxmlformats.org/spreadsheetml/2006/main" count="302" uniqueCount="199">
  <si>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</si>
  <si>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</si>
  <si>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</si>
  <si>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</si>
  <si>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</si>
  <si>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</si>
  <si>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</si>
  <si>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</si>
  <si>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</si>
  <si>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</si>
  <si>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</si>
  <si>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</si>
  <si>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</si>
  <si>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</si>
  <si>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</si>
  <si>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</si>
  <si>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</si>
  <si>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</si>
  <si>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</si>
  <si>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</si>
  <si>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</si>
  <si>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</si>
  <si>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</si>
  <si>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</si>
  <si>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</si>
  <si>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</si>
  <si>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</si>
  <si>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</si>
  <si>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</si>
  <si>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</si>
  <si>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</si>
  <si>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</si>
  <si>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</si>
  <si>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</si>
  <si>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</si>
  <si>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</si>
  <si>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</si>
  <si>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</si>
  <si>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</si>
  <si>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</si>
  <si>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</si>
  <si>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</si>
  <si>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</si>
  <si>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</si>
  <si>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</si>
  <si>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</si>
  <si>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</si>
  <si>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</si>
  <si>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</si>
  <si>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</si>
  <si>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</si>
  <si>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</si>
  <si>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</si>
  <si>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</si>
  <si>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</si>
  <si>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</si>
  <si>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</si>
  <si>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</si>
  <si>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</si>
  <si>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</si>
  <si>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</si>
  <si>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</si>
  <si>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</si>
  <si>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</si>
  <si>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</si>
  <si>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</si>
  <si>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</si>
  <si>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</si>
  <si>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</si>
  <si>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</si>
  <si>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</si>
  <si>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</si>
  <si>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</si>
  <si>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</si>
  <si>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</si>
  <si>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</si>
  <si>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</si>
  <si>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</si>
  <si>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</si>
  <si>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</si>
  <si>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</si>
  <si>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</si>
  <si>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</si>
  <si>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</si>
  <si>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</si>
  <si>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</si>
  <si>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</si>
  <si>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</si>
  <si>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</si>
  <si>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</si>
  <si>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</si>
  <si>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</si>
  <si>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</si>
  <si>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</si>
  <si>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</si>
  <si>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</si>
  <si>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</si>
  <si>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</si>
  <si>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</si>
  <si>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</si>
  <si>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</si>
  <si>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</si>
  <si>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</si>
  <si>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</si>
  <si>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</si>
  <si>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</si>
  <si>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</si>
  <si>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</si>
  <si>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</si>
  <si>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</si>
  <si>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</si>
  <si>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</si>
  <si>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</si>
  <si>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</si>
  <si>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</si>
  <si>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</si>
  <si>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</si>
  <si>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</si>
  <si>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</si>
  <si>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</si>
  <si>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</si>
  <si>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</si>
  <si>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</si>
  <si>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</si>
  <si>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</si>
  <si>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</si>
  <si>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</si>
  <si>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</si>
  <si>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</si>
  <si>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</si>
  <si>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</si>
  <si>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</si>
  <si>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</si>
  <si>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</si>
  <si>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</si>
  <si>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</si>
  <si>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</si>
  <si>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</si>
  <si>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</si>
  <si>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</si>
  <si>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</si>
  <si>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</si>
  <si>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</si>
  <si>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</si>
  <si>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</si>
  <si>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</si>
  <si>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</si>
  <si>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</si>
  <si>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</si>
  <si>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</si>
  <si>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</si>
  <si>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</si>
  <si>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</si>
  <si>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</si>
  <si>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</si>
  <si>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</si>
  <si>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</si>
  <si>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</si>
  <si>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</si>
  <si>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</si>
  <si>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</si>
  <si>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</si>
  <si>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</si>
  <si>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</si>
  <si>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</si>
  <si>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</si>
  <si>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</si>
  <si>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</si>
  <si>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</si>
  <si>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</si>
  <si>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</si>
  <si>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</si>
  <si>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</si>
  <si>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</si>
  <si>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</si>
  <si>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</si>
  <si>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</si>
  <si>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</si>
  <si>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</si>
  <si>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</si>
  <si>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</si>
  <si>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</si>
  <si>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</si>
  <si>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</si>
  <si>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</si>
  <si>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</si>
  <si>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</si>
  <si>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</si>
  <si>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</si>
  <si>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</si>
  <si>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</si>
  <si>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</si>
  <si>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</si>
  <si>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</si>
  <si>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PLASMASTERS</t>
  </si>
  <si>
    <t>(630+380)</t>
  </si>
  <si>
    <t>RUN AT 20 - 25um</t>
  </si>
  <si>
    <t xml:space="preserve"> +/- 10mm</t>
  </si>
  <si>
    <t xml:space="preserve">PERF INLINE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</si>
</sst>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PBR1010G90020</v>
      </c>
      <c r="C1" s="113"/>
      <c r="D1" s="114"/>
      <c r="E1" s="16" t="s">
        <v>56</v>
      </c>
      <c r="F1" s="94" t="s">
        <v>194</v>
      </c>
      <c r="G1" s="94"/>
      <c r="H1" s="95"/>
      <c r="I1" s="16" t="s">
        <v>180</v>
      </c>
      <c r="J1" s="130">
        <f ca="1">TODAY()</f>
        <v>45691</v>
      </c>
      <c r="K1" s="130"/>
      <c r="L1" s="131"/>
      <c r="M1" s="30"/>
      <c r="N1" s="16" t="s">
        <v>55</v>
      </c>
      <c r="O1" s="113" t="str">
        <f>B1</f>
        <v>PBR1010G90020</v>
      </c>
      <c r="P1" s="113"/>
      <c r="Q1" s="114"/>
      <c r="R1" s="16" t="s">
        <v>56</v>
      </c>
      <c r="S1" s="113" t="str">
        <f>F1</f>
        <v>PLASMASTERS</v>
      </c>
      <c r="T1" s="113"/>
      <c r="U1" s="114"/>
      <c r="V1" s="16" t="s">
        <v>180</v>
      </c>
      <c r="W1" s="130">
        <f ca="1">J1</f>
        <v>45691</v>
      </c>
      <c r="X1" s="130"/>
      <c r="Y1" s="131"/>
    </row>
    <row r="2" spans="1:25" ht="20.149999999999999" customHeight="1" x14ac:dyDescent="0.8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949032</v>
      </c>
      <c r="G2" s="94"/>
      <c r="H2" s="95"/>
      <c r="I2" s="16" t="s">
        <v>58</v>
      </c>
      <c r="J2" s="93" t="s">
        <v>192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949032</v>
      </c>
      <c r="T2" s="113"/>
      <c r="U2" s="114"/>
      <c r="V2" s="16" t="s">
        <v>58</v>
      </c>
      <c r="W2" s="132" t="str">
        <f>J2</f>
        <v>ASAP</v>
      </c>
      <c r="X2" s="113"/>
      <c r="Y2" s="114"/>
    </row>
    <row r="3" spans="1:25" ht="20.149999999999999" customHeight="1" x14ac:dyDescent="0.75">
      <c r="A3" s="125" t="s">
        <v>198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30"/>
      <c r="N3" s="125" t="str">
        <f>A3</f>
        <v xml:space="preserve">PERF INLINE 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49999999999999" customHeight="1" x14ac:dyDescent="0.7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30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49999999999999" customHeight="1" x14ac:dyDescent="0.7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30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7</v>
      </c>
      <c r="P7" s="95"/>
      <c r="Q7" s="16" t="str">
        <f>IF(ISNUMBER(SEARCH("roll",O8,1)),"Per Roll","Per Carton")</f>
        <v>Per Roll</v>
      </c>
      <c r="R7" s="94">
        <v>500</v>
      </c>
      <c r="S7" s="95"/>
      <c r="T7" s="16" t="str">
        <f>IF(ISNUMBER(SEARCH("bag",O8,1)),"Total Bags","Total Sheets")</f>
        <v>Total Bags</v>
      </c>
      <c r="U7" s="113">
        <f>R7*O7</f>
        <v>3500</v>
      </c>
      <c r="V7" s="114"/>
      <c r="W7" s="16" t="s">
        <v>101</v>
      </c>
      <c r="X7" s="94" t="s">
        <v>30</v>
      </c>
      <c r="Y7" s="95"/>
    </row>
    <row r="8" spans="1:25" ht="20.149999999999999" customHeight="1" x14ac:dyDescent="0.8">
      <c r="A8" s="17" t="s">
        <v>15</v>
      </c>
      <c r="B8" s="103">
        <f>R9</f>
        <v>1010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(630+380)</v>
      </c>
      <c r="F8" s="106"/>
      <c r="G8" s="17" t="s">
        <v>51</v>
      </c>
      <c r="H8" s="103" t="str">
        <f>(IF(V9&lt;30,"30",V9))</f>
        <v>30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3"/>
    </row>
    <row r="9" spans="1:25" ht="20.149999999999999" customHeight="1" x14ac:dyDescent="0.9">
      <c r="A9" s="21" t="s">
        <v>47</v>
      </c>
      <c r="B9" s="111" t="s">
        <v>197</v>
      </c>
      <c r="C9" s="112"/>
      <c r="D9" s="137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196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1010</v>
      </c>
      <c r="S9" s="23" t="s">
        <v>77</v>
      </c>
      <c r="T9" s="31">
        <v>900</v>
      </c>
      <c r="U9" s="23" t="s">
        <v>77</v>
      </c>
      <c r="V9" s="31">
        <v>20</v>
      </c>
      <c r="W9" s="22"/>
      <c r="X9" s="100" t="s">
        <v>195</v>
      </c>
      <c r="Y9" s="101"/>
    </row>
    <row r="10" spans="1:25" ht="20.149999999999999" customHeight="1" x14ac:dyDescent="0.8">
      <c r="A10" s="16" t="s">
        <v>50</v>
      </c>
      <c r="B10" s="94">
        <v>7</v>
      </c>
      <c r="C10" s="95"/>
      <c r="D10" s="49" t="s">
        <v>133</v>
      </c>
      <c r="E10" s="115">
        <f>IF(ISNUMBER(SEARCH("sheet",O8,1)),((R9*T9*H8/540000)*U7/2000*1.3),((R9*T9*H8/540000)*U7/1000*1.08))</f>
        <v>190.89000000000001</v>
      </c>
      <c r="F10" s="116"/>
      <c r="G10" s="16" t="s">
        <v>52</v>
      </c>
      <c r="H10" s="119">
        <f>IF(ISNUMBER(SEARCH("sheet",O8,1)),(U7*T9/2000*1.08),(U7*T9/1000*1.08))</f>
        <v>3402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27.270000000000003</v>
      </c>
      <c r="F11" s="118"/>
      <c r="G11" s="16" t="s">
        <v>14</v>
      </c>
      <c r="H11" s="117">
        <f>H10/B10</f>
        <v>486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7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0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38"/>
      <c r="Y16" s="139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30</v>
      </c>
      <c r="V17" s="95"/>
      <c r="W17" s="16" t="str">
        <f>IF(ISNUMBER(SEARCH("roll",O8,1)),"Total Rolls","Total Ctns")</f>
        <v>Total Rolls</v>
      </c>
      <c r="X17" s="138"/>
      <c r="Y17" s="139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38"/>
      <c r="Y18" s="139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0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1" t="s">
        <v>131</v>
      </c>
      <c r="H26" s="141"/>
      <c r="I26" s="141" t="s">
        <v>130</v>
      </c>
      <c r="J26" s="141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45719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45712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9D5DBE8-11F3-4DE5-8528-37355A051EA5}"/>
</file>

<file path=customXml/itemProps2.xml><?xml version="1.0" encoding="utf-8"?>
<ds:datastoreItem xmlns:ds="http://schemas.openxmlformats.org/officeDocument/2006/customXml" ds:itemID="{08F72E84-BE4D-45EE-96EE-49A73900C871}"/>
</file>

<file path=customXml/itemProps3.xml><?xml version="1.0" encoding="utf-8"?>
<ds:datastoreItem xmlns:ds="http://schemas.openxmlformats.org/officeDocument/2006/customXml" ds:itemID="{0F8BA1F1-C89D-4467-A538-60A829F339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2025-02-03T01:42:10Z</cp:lastPrinted>
  <dcterms:created xsi:type="dcterms:W3CDTF">2019-11-27T23:28:06Z</dcterms:created>
  <dcterms:modified xsi:type="dcterms:W3CDTF">2025-02-04T02:30:47Z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