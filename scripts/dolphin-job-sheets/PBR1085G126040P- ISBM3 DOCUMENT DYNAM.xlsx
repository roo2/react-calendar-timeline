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F538082-1F81-4F5C-BE2E-786C7633A3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S2" i="1"/>
  <c r="W13" i="1"/>
  <c r="D8" i="1" l="1"/>
  <c r="E8" i="1"/>
  <c r="W8" i="1"/>
  <c r="X8" i="1" s="1"/>
  <c r="K8" i="1" l="1"/>
  <c r="O9" i="1"/>
  <c r="A11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O2" i="1"/>
  <c r="C22" i="1" l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<sst xmlns="http://schemas.openxmlformats.org/spreadsheetml/2006/main" count="307" uniqueCount="205">
  <si>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</si>
  <si>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</si>
  <si>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</si>
  <si>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</si>
  <si>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</si>
  <si>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</si>
  <si>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</si>
  <si>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</si>
  <si>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</si>
  <si>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</si>
  <si>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</si>
  <si>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</si>
  <si>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</si>
  <si>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</si>
  <si>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</si>
  <si>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</si>
  <si>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</si>
  <si>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</si>
  <si>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</si>
  <si>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</si>
  <si>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</si>
  <si>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</si>
  <si>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</si>
  <si>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</si>
  <si>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</si>
  <si>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</si>
  <si>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</si>
  <si>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</si>
  <si>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</si>
  <si>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</si>
  <si>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</si>
  <si>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</si>
  <si>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</si>
  <si>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</si>
  <si>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</si>
  <si>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</si>
  <si>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</si>
  <si>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</si>
  <si>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</si>
  <si>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</si>
  <si>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</si>
  <si>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</si>
  <si>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</si>
  <si>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</si>
  <si>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</si>
  <si>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</si>
  <si>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</si>
  <si>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</si>
  <si>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</si>
  <si>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</si>
  <si>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</si>
  <si>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</si>
  <si>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</si>
  <si>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</si>
  <si>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</si>
  <si>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</si>
  <si>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</si>
  <si>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</si>
  <si>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</si>
  <si>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</si>
  <si>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</si>
  <si>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</si>
  <si>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</si>
  <si>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</si>
  <si>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</si>
  <si>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</si>
  <si>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</si>
  <si>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</si>
  <si>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</si>
  <si>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</si>
  <si>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</si>
  <si>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</si>
  <si>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</si>
  <si>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</si>
  <si>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</si>
  <si>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</si>
  <si>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</si>
  <si>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</si>
  <si>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</si>
  <si>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</si>
  <si>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</si>
  <si>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</si>
  <si>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</si>
  <si>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</si>
  <si>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</si>
  <si>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</si>
  <si>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</si>
  <si>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</si>
  <si>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</si>
  <si>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</si>
  <si>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</si>
  <si>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</si>
  <si>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</si>
  <si>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</si>
  <si>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</si>
  <si>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</si>
  <si>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</si>
  <si>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</si>
  <si>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</si>
  <si>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</si>
  <si>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</si>
  <si>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</si>
  <si>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</si>
  <si>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</si>
  <si>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</si>
  <si>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</si>
  <si>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</si>
  <si>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</si>
  <si>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</si>
  <si>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</si>
  <si>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</si>
  <si>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</si>
  <si>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</si>
  <si>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</si>
  <si>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</si>
  <si>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</si>
  <si>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</si>
  <si>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</si>
  <si>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</si>
  <si>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</si>
  <si>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</si>
  <si>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</si>
  <si>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</si>
  <si>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</si>
  <si>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</si>
  <si>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</si>
  <si>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</si>
  <si>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</si>
  <si>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</si>
  <si>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</si>
  <si>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</si>
  <si>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</si>
  <si>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</si>
  <si>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</si>
  <si>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</si>
  <si>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</si>
  <si>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</si>
  <si>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</si>
  <si>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</si>
  <si>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</si>
  <si>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</si>
  <si>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</si>
  <si>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</si>
  <si>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</si>
  <si>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</si>
  <si>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</si>
  <si>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</si>
  <si>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</si>
  <si>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</si>
  <si>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</si>
  <si>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</si>
  <si>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</si>
  <si>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</si>
  <si>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</si>
  <si>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</si>
  <si>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</si>
  <si>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</si>
  <si>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</si>
  <si>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</si>
  <si>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</si>
  <si>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</si>
  <si>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</si>
  <si>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</si>
  <si>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</si>
  <si>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</si>
  <si>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</si>
  <si>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</si>
  <si>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</si>
  <si>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</si>
  <si>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</si>
  <si>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</si>
  <si>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</si>
  <si>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</si>
  <si>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</si>
  <si>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</si>
  <si>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</si>
  <si>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</si>
  <si>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</si>
  <si>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</si>
  <si>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</si>
  <si>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</si>
  <si>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</si>
  <si>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</si>
  <si>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</si>
  <si>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</si>
  <si>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</si>
  <si>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</si>
  <si>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</si>
  <si>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</si>
  <si>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</si>
  <si>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</si>
  <si>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</si>
  <si>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</si>
  <si>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</si>
  <si>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DOCUMENT DYNAMIX</t>
  </si>
  <si>
    <t xml:space="preserve"> +/- 10mm</t>
  </si>
  <si>
    <t>NOT OVER</t>
  </si>
  <si>
    <t>ISBM3</t>
  </si>
  <si>
    <t>(565+520)</t>
  </si>
  <si>
    <t>"DOCUMENT DYNAMIX ISBM3"</t>
  </si>
  <si>
    <t>PERF</t>
  </si>
  <si>
    <t>RUN INLINE AND PRINT - ON 55 EXTRUDER - MUST BE NEAT ROLLS - MUST HAVE NEAT PRINT -  PLEASE GET EMMA TO CHECK INLINE PRINT AND SEAL</t>
  </si>
  <si>
    <t>ANTIBLOCK</t>
  </si>
  <si>
    <t>ANTISTATIC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</si>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</sst>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E13" sqref="AE13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PBR1085G1260400ASP</v>
      </c>
      <c r="C1" s="113"/>
      <c r="D1" s="114"/>
      <c r="E1" s="16" t="s">
        <v>56</v>
      </c>
      <c r="F1" s="94" t="s">
        <v>194</v>
      </c>
      <c r="G1" s="94"/>
      <c r="H1" s="95"/>
      <c r="I1" s="16" t="s">
        <v>180</v>
      </c>
      <c r="J1" s="134">
        <f ca="1">TODAY()</f>
        <v>46066</v>
      </c>
      <c r="K1" s="134"/>
      <c r="L1" s="135"/>
      <c r="M1" s="30"/>
      <c r="N1" s="16" t="s">
        <v>55</v>
      </c>
      <c r="O1" s="113" t="str">
        <f>B1</f>
        <v>PBR1085G1260400ASP</v>
      </c>
      <c r="P1" s="113"/>
      <c r="Q1" s="114"/>
      <c r="R1" s="16" t="s">
        <v>56</v>
      </c>
      <c r="S1" s="113" t="str">
        <f>F1</f>
        <v>DOCUMENT DYNAMIX</v>
      </c>
      <c r="T1" s="113"/>
      <c r="U1" s="114"/>
      <c r="V1" s="16" t="s">
        <v>180</v>
      </c>
      <c r="W1" s="134">
        <f ca="1">J1</f>
        <v>46066</v>
      </c>
      <c r="X1" s="134"/>
      <c r="Y1" s="135"/>
    </row>
    <row r="2" spans="1:25" ht="20.100000000000001" customHeight="1" x14ac:dyDescent="0.25">
      <c r="A2" s="16" t="s">
        <v>99</v>
      </c>
      <c r="B2" s="113" t="str">
        <f>IF(U10="","",U10)</f>
        <v>ISBM3</v>
      </c>
      <c r="C2" s="113"/>
      <c r="D2" s="114"/>
      <c r="E2" s="16" t="s">
        <v>57</v>
      </c>
      <c r="F2" s="94">
        <v>951240</v>
      </c>
      <c r="G2" s="94"/>
      <c r="H2" s="95"/>
      <c r="I2" s="16" t="s">
        <v>58</v>
      </c>
      <c r="J2" s="93">
        <v>46056</v>
      </c>
      <c r="K2" s="94"/>
      <c r="L2" s="95"/>
      <c r="M2" s="30"/>
      <c r="N2" s="16" t="s">
        <v>99</v>
      </c>
      <c r="O2" s="113" t="str">
        <f>IF(B2="","",B2)</f>
        <v>ISBM3</v>
      </c>
      <c r="P2" s="113"/>
      <c r="Q2" s="114"/>
      <c r="R2" s="16" t="s">
        <v>57</v>
      </c>
      <c r="S2" s="113">
        <f>IF(F2="","",F2)</f>
        <v>951240</v>
      </c>
      <c r="T2" s="113"/>
      <c r="U2" s="114"/>
      <c r="V2" s="16" t="s">
        <v>58</v>
      </c>
      <c r="W2" s="136">
        <f>J2</f>
        <v>46056</v>
      </c>
      <c r="X2" s="113"/>
      <c r="Y2" s="114"/>
    </row>
    <row r="3" spans="1:25" ht="20.100000000000001" customHeight="1" x14ac:dyDescent="0.25">
      <c r="A3" s="125" t="s">
        <v>201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RUN INLINE AND PRINT - ON 55 EXTRUDER - MUST BE NEAT ROLLS - MUST HAVE NEAT PRINT -  PLEASE GET EMMA TO CHECK INLINE PRINT AND SEAL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100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10000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25">
      <c r="A8" s="17" t="s">
        <v>15</v>
      </c>
      <c r="B8" s="103">
        <f>R9</f>
        <v>1085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(565+520)</v>
      </c>
      <c r="F8" s="106"/>
      <c r="G8" s="17" t="s">
        <v>51</v>
      </c>
      <c r="H8" s="103">
        <f>(IF(V9&lt;30,"30",V9))</f>
        <v>40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00000000000001" customHeight="1" x14ac:dyDescent="0.3">
      <c r="A9" s="21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1085</v>
      </c>
      <c r="S9" s="23" t="s">
        <v>77</v>
      </c>
      <c r="T9" s="31">
        <v>1260</v>
      </c>
      <c r="U9" s="23" t="s">
        <v>77</v>
      </c>
      <c r="V9" s="31">
        <v>40</v>
      </c>
      <c r="W9" s="22"/>
      <c r="X9" s="100" t="s">
        <v>198</v>
      </c>
      <c r="Y9" s="101"/>
    </row>
    <row r="10" spans="1:25" ht="20.100000000000001" customHeight="1" x14ac:dyDescent="0.25">
      <c r="A10" s="16" t="s">
        <v>50</v>
      </c>
      <c r="B10" s="94">
        <v>100</v>
      </c>
      <c r="C10" s="95"/>
      <c r="D10" s="49" t="s">
        <v>133</v>
      </c>
      <c r="E10" s="115">
        <f>IF(ISNUMBER(SEARCH("sheet",O8,1)),((R9*T9*H8/540000)*U7/2000*1.3),((R9*T9*H8/540000)*U7/1000*1.08))</f>
        <v>1093.68</v>
      </c>
      <c r="F10" s="116"/>
      <c r="G10" s="16" t="s">
        <v>52</v>
      </c>
      <c r="H10" s="119">
        <f>IF(ISNUMBER(SEARCH("sheet",O8,1)),(U7*T9/2000*1.08),(U7*T9/1000*1.08))</f>
        <v>13608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Yes</v>
      </c>
      <c r="S10" s="102"/>
      <c r="T10" s="18" t="s">
        <v>99</v>
      </c>
      <c r="U10" s="96" t="s">
        <v>197</v>
      </c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10.9368</v>
      </c>
      <c r="F11" s="118"/>
      <c r="G11" s="16" t="s">
        <v>14</v>
      </c>
      <c r="H11" s="117">
        <f>H10/B10</f>
        <v>136.08000000000001</v>
      </c>
      <c r="I11" s="118"/>
      <c r="J11" s="16" t="s">
        <v>49</v>
      </c>
      <c r="K11" s="94" t="s">
        <v>64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>P</v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00000000000001" customHeight="1" x14ac:dyDescent="0.25">
      <c r="A13" s="16" t="s">
        <v>67</v>
      </c>
      <c r="B13" s="94" t="s">
        <v>69</v>
      </c>
      <c r="C13" s="94"/>
      <c r="D13" s="95"/>
      <c r="E13" s="24" t="s">
        <v>60</v>
      </c>
      <c r="F13" s="94" t="s">
        <v>65</v>
      </c>
      <c r="G13" s="94"/>
      <c r="H13" s="95"/>
      <c r="I13" s="16" t="s">
        <v>61</v>
      </c>
      <c r="J13" s="94" t="s">
        <v>152</v>
      </c>
      <c r="K13" s="94"/>
      <c r="L13" s="95"/>
      <c r="M13" s="30"/>
      <c r="N13" s="16" t="s">
        <v>71</v>
      </c>
      <c r="O13" s="32" t="s">
        <v>56</v>
      </c>
      <c r="P13" s="16" t="s">
        <v>72</v>
      </c>
      <c r="Q13" s="25">
        <f>O7</f>
        <v>100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00000000000001" customHeight="1" x14ac:dyDescent="0.3">
      <c r="A14" s="17" t="s">
        <v>59</v>
      </c>
      <c r="B14" s="123" t="s">
        <v>199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">
        <v>202</v>
      </c>
      <c r="B22" s="78"/>
      <c r="C22" s="80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203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 t="s">
        <v>200</v>
      </c>
      <c r="P25" s="36"/>
      <c r="Q25" s="10">
        <v>22</v>
      </c>
      <c r="R25" s="10">
        <v>9</v>
      </c>
      <c r="S25" s="10"/>
      <c r="T25" s="10">
        <v>10</v>
      </c>
      <c r="U25" s="10">
        <v>2</v>
      </c>
      <c r="V25" s="10">
        <v>3</v>
      </c>
      <c r="W25" s="10">
        <v>150</v>
      </c>
      <c r="X25" s="10">
        <v>150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 t="s">
        <v>204</v>
      </c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46094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46087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9A333A8-1610-44BF-AD8E-7240B396ED29}"/>
</file>

<file path=customXml/itemProps2.xml><?xml version="1.0" encoding="utf-8"?>
<ds:datastoreItem xmlns:ds="http://schemas.openxmlformats.org/officeDocument/2006/customXml" ds:itemID="{E2CDA8A6-EC9A-48BB-8714-2F1A1E3D0E9E}"/>
</file>

<file path=customXml/itemProps3.xml><?xml version="1.0" encoding="utf-8"?>
<ds:datastoreItem xmlns:ds="http://schemas.openxmlformats.org/officeDocument/2006/customXml" ds:itemID="{053710A9-FCDF-4900-B412-7A03FA898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2026-02-13T07:37:35Z</cp:lastPrinted>
  <dcterms:created xsi:type="dcterms:W3CDTF">2019-11-27T23:28:06Z</dcterms:created>
  <dcterms:modified xsi:type="dcterms:W3CDTF">2026-02-13T07:37:37Z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