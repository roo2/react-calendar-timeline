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1754E94-B355-4652-BC6E-9DF54BABBEE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<sst xmlns="http://schemas.openxmlformats.org/spreadsheetml/2006/main" count="308" uniqueCount="202">
  <si>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</si>
  <si>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</si>
  <si>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</si>
  <si>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</si>
  <si>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</si>
  <si>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</si>
  <si>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</si>
  <si>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</si>
  <si>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</si>
  <si>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</si>
  <si>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</si>
  <si>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</si>
  <si>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</si>
  <si>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</si>
  <si>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</si>
  <si>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</si>
  <si>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</si>
  <si>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</si>
  <si>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</si>
  <si>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</si>
  <si>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</si>
  <si>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</si>
  <si>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</si>
  <si>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</si>
  <si>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</si>
  <si>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</si>
  <si>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</si>
  <si>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</si>
  <si>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</si>
  <si>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</si>
  <si>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</si>
  <si>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</si>
  <si>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</si>
  <si>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</si>
  <si>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</si>
  <si>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</si>
  <si>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</si>
  <si>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</si>
  <si>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</si>
  <si>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</si>
  <si>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</si>
  <si>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</si>
  <si>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</si>
  <si>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</si>
  <si>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</si>
  <si>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</si>
  <si>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</si>
  <si>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</si>
  <si>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</si>
  <si>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</si>
  <si>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</si>
  <si>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</si>
  <si>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</si>
  <si>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</si>
  <si>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</si>
  <si>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</si>
  <si>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</si>
  <si>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</si>
  <si>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</si>
  <si>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</si>
  <si>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</si>
  <si>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</si>
  <si>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</si>
  <si>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</si>
  <si>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</si>
  <si>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</si>
  <si>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</si>
  <si>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</si>
  <si>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</si>
  <si>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</si>
  <si>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</si>
  <si>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</si>
  <si>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</si>
  <si>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</si>
  <si>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</si>
  <si>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</si>
  <si>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</si>
  <si>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</si>
  <si>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</si>
  <si>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</si>
  <si>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</si>
  <si>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</si>
  <si>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</si>
  <si>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</si>
  <si>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</si>
  <si>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</si>
  <si>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</si>
  <si>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</si>
  <si>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</si>
  <si>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</si>
  <si>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</si>
  <si>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</si>
  <si>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</si>
  <si>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</si>
  <si>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</si>
  <si>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</si>
  <si>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</si>
  <si>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</si>
  <si>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</si>
  <si>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</si>
  <si>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</si>
  <si>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</si>
  <si>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</si>
  <si>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</si>
  <si>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</si>
  <si>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</si>
  <si>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</si>
  <si>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</si>
  <si>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</si>
  <si>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</si>
  <si>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</si>
  <si>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</si>
  <si>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</si>
  <si>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</si>
  <si>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</si>
  <si>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</si>
  <si>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</si>
  <si>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</si>
  <si>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</si>
  <si>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</si>
  <si>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</si>
  <si>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</si>
  <si>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</si>
  <si>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</si>
  <si>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</si>
  <si>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</si>
  <si>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</si>
  <si>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</si>
  <si>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</si>
  <si>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</si>
  <si>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</si>
  <si>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</si>
  <si>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</si>
  <si>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</si>
  <si>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</si>
  <si>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</si>
  <si>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</si>
  <si>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</si>
  <si>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</si>
  <si>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</si>
  <si>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</si>
  <si>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</si>
  <si>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</si>
  <si>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</si>
  <si>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</si>
  <si>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</si>
  <si>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</si>
  <si>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</si>
  <si>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</si>
  <si>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</si>
  <si>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</si>
  <si>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</si>
  <si>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</si>
  <si>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</si>
  <si>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</si>
  <si>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</si>
  <si>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</si>
  <si>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</si>
  <si>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</si>
  <si>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</si>
  <si>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</si>
  <si>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</si>
  <si>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</si>
  <si>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</si>
  <si>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</si>
  <si>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</si>
  <si>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</si>
  <si>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</si>
  <si>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</si>
  <si>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</si>
  <si>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</si>
  <si>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</si>
  <si>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</si>
  <si>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</si>
  <si>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</si>
  <si>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</si>
  <si>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</si>
  <si>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</si>
  <si>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</si>
  <si>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</si>
  <si>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</si>
  <si>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</si>
  <si>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</si>
  <si>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</si>
  <si>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</si>
  <si>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</si>
  <si>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</si>
  <si>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</si>
  <si>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</si>
  <si>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</si>
  <si>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</si>
  <si>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</si>
  <si>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</si>
  <si>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</si>
  <si>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</si>
  <si>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</si>
  <si>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NOT UNDER</t>
  </si>
  <si>
    <t>DAYWALK</t>
  </si>
  <si>
    <t>NEW ITEM -  MUST BE SPOT ON GUGE AND WIDTH - CHECK SEALS FREQUENTLY</t>
  </si>
  <si>
    <t>12-BUV3248</t>
  </si>
  <si>
    <t>UV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</si>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</sst>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5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9" fillId="0" borderId="4" xfId="0" applyNumberFormat="1" applyFont="1" applyBorder="1" applyAlignment="1" applyProtection="1">
      <alignment horizontal="center"/>
      <protection locked="0"/>
    </xf>
    <xf numFmtId="0" fontId="17" fillId="5" borderId="6" xfId="0" applyFont="1" applyFill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PB8201220100UV0P</v>
      </c>
      <c r="C1" s="110"/>
      <c r="D1" s="111"/>
      <c r="E1" s="11" t="s">
        <v>57</v>
      </c>
      <c r="F1" s="63" t="s">
        <v>197</v>
      </c>
      <c r="G1" s="63"/>
      <c r="H1" s="64"/>
      <c r="I1" s="12" t="s">
        <v>181</v>
      </c>
      <c r="J1" s="121">
        <f ca="1">TODAY()</f>
        <v>45525</v>
      </c>
      <c r="K1" s="121"/>
      <c r="L1" s="122"/>
      <c r="M1" s="29"/>
      <c r="N1" s="11" t="s">
        <v>56</v>
      </c>
      <c r="O1" s="110" t="str">
        <f>B1</f>
        <v>PB8201220100UV0P</v>
      </c>
      <c r="P1" s="110"/>
      <c r="Q1" s="111"/>
      <c r="R1" s="11" t="s">
        <v>57</v>
      </c>
      <c r="S1" s="110" t="str">
        <f>F1</f>
        <v>DAYWALK</v>
      </c>
      <c r="T1" s="110"/>
      <c r="U1" s="111"/>
      <c r="V1" s="11" t="s">
        <v>181</v>
      </c>
      <c r="W1" s="121">
        <f ca="1">J1</f>
        <v>45525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12-BUV3248</v>
      </c>
      <c r="C2" s="110"/>
      <c r="D2" s="111"/>
      <c r="E2" s="11" t="s">
        <v>58</v>
      </c>
      <c r="F2" s="63">
        <v>948460</v>
      </c>
      <c r="G2" s="63"/>
      <c r="H2" s="64"/>
      <c r="I2" s="11" t="s">
        <v>59</v>
      </c>
      <c r="J2" s="124">
        <v>45546</v>
      </c>
      <c r="K2" s="63"/>
      <c r="L2" s="64"/>
      <c r="M2" s="29"/>
      <c r="N2" s="11" t="s">
        <v>100</v>
      </c>
      <c r="O2" s="110" t="str">
        <f>IF(B2="","",B2)</f>
        <v>12-BUV3248</v>
      </c>
      <c r="P2" s="110"/>
      <c r="Q2" s="111"/>
      <c r="R2" s="11" t="s">
        <v>58</v>
      </c>
      <c r="S2" s="110">
        <f>IF(F2="","",F2)</f>
        <v>948460</v>
      </c>
      <c r="T2" s="110"/>
      <c r="U2" s="111"/>
      <c r="V2" s="11" t="s">
        <v>59</v>
      </c>
      <c r="W2" s="123">
        <f>J2</f>
        <v>45546</v>
      </c>
      <c r="X2" s="110"/>
      <c r="Y2" s="111"/>
    </row>
    <row r="3" spans="1:25" ht="20.149999999999999" customHeight="1" x14ac:dyDescent="0.75">
      <c r="A3" s="112" t="s">
        <v>198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NEW ITEM -  MUST BE SPOT ON GUGE AND WIDTH - CHECK SEALS FREQUENTLY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10</v>
      </c>
      <c r="P7" s="64"/>
      <c r="Q7" s="11" t="str">
        <f>IF(ISNUMBER(SEARCH("roll",O8,1)),"Per Roll","Per Carton")</f>
        <v>Per Carton</v>
      </c>
      <c r="R7" s="63">
        <v>100</v>
      </c>
      <c r="S7" s="64"/>
      <c r="T7" s="11" t="str">
        <f>IF(ISNUMBER(SEARCH("bag",O8,1)),"Total Bags","Total Sheets")</f>
        <v>Total Bags</v>
      </c>
      <c r="U7" s="110">
        <f>R7*O7</f>
        <v>1000</v>
      </c>
      <c r="V7" s="111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8">
        <f>R9</f>
        <v>820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100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196</v>
      </c>
      <c r="I9" s="128"/>
      <c r="J9" s="11" t="s">
        <v>55</v>
      </c>
      <c r="K9" s="63" t="s">
        <v>30</v>
      </c>
      <c r="L9" s="64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820</v>
      </c>
      <c r="S9" s="18" t="s">
        <v>78</v>
      </c>
      <c r="T9" s="30">
        <v>1220</v>
      </c>
      <c r="U9" s="18" t="s">
        <v>78</v>
      </c>
      <c r="V9" s="30">
        <v>100</v>
      </c>
      <c r="W9" s="17"/>
      <c r="X9" s="89"/>
      <c r="Y9" s="90"/>
    </row>
    <row r="10" spans="1:25" ht="20.149999999999999" customHeight="1" x14ac:dyDescent="0.8">
      <c r="A10" s="11" t="s">
        <v>51</v>
      </c>
      <c r="B10" s="63">
        <v>6</v>
      </c>
      <c r="C10" s="64"/>
      <c r="D10" s="47" t="s">
        <v>134</v>
      </c>
      <c r="E10" s="129">
        <f>IF(ISNUMBER(SEARCH("sheet",O8,1)),((R9*T9*H8/540000)*U7/2000*1.3),((R9*T9*H8/540000)*U7/1000*1.08))</f>
        <v>200.08</v>
      </c>
      <c r="F10" s="130"/>
      <c r="G10" s="11" t="s">
        <v>53</v>
      </c>
      <c r="H10" s="133">
        <f>IF(ISNUMBER(SEARCH("sheet",O8,1)),(U7*T9/2000*1.08),(U7*T9/1000*1.08))</f>
        <v>1317.6000000000001</v>
      </c>
      <c r="I10" s="134"/>
      <c r="J10" s="11" t="s">
        <v>41</v>
      </c>
      <c r="K10" s="63" t="s">
        <v>44</v>
      </c>
      <c r="L10" s="64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Yes</v>
      </c>
      <c r="S10" s="96"/>
      <c r="T10" s="14" t="s">
        <v>100</v>
      </c>
      <c r="U10" s="106" t="s">
        <v>199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33.346666666666671</v>
      </c>
      <c r="F11" s="132"/>
      <c r="G11" s="11" t="s">
        <v>15</v>
      </c>
      <c r="H11" s="131">
        <f>H10/B10</f>
        <v>219.60000000000002</v>
      </c>
      <c r="I11" s="132"/>
      <c r="J11" s="11" t="s">
        <v>50</v>
      </c>
      <c r="K11" s="63" t="s">
        <v>65</v>
      </c>
      <c r="L11" s="64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>P</v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70</v>
      </c>
      <c r="C13" s="63"/>
      <c r="D13" s="64"/>
      <c r="E13" s="19" t="s">
        <v>61</v>
      </c>
      <c r="F13" s="63" t="s">
        <v>66</v>
      </c>
      <c r="G13" s="63"/>
      <c r="H13" s="64"/>
      <c r="I13" s="11" t="s">
        <v>62</v>
      </c>
      <c r="J13" s="63" t="s">
        <v>177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 t="s">
        <v>197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39" t="s">
        <v>4</v>
      </c>
      <c r="F16" s="139"/>
      <c r="G16" s="139" t="s">
        <v>5</v>
      </c>
      <c r="H16" s="139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 t="s">
        <v>38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4" t="s">
        <v>147</v>
      </c>
      <c r="D17" s="95"/>
      <c r="E17" s="91"/>
      <c r="F17" s="66"/>
      <c r="G17" s="48" t="s">
        <v>81</v>
      </c>
      <c r="H17" s="59"/>
      <c r="I17" s="60"/>
      <c r="J17" s="61"/>
      <c r="K17" s="60"/>
      <c r="L17" s="61"/>
      <c r="M17" s="29"/>
      <c r="N17" s="11" t="s">
        <v>26</v>
      </c>
      <c r="O17" s="63" t="s">
        <v>35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4" t="s">
        <v>146</v>
      </c>
      <c r="D18" s="95"/>
      <c r="E18" s="91"/>
      <c r="F18" s="66"/>
      <c r="G18" s="48" t="s">
        <v>82</v>
      </c>
      <c r="H18" s="59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4" t="s">
        <v>145</v>
      </c>
      <c r="D19" s="95"/>
      <c r="E19" s="91"/>
      <c r="F19" s="66"/>
      <c r="G19" s="48" t="s">
        <v>83</v>
      </c>
      <c r="H19" s="59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4" t="s">
        <v>144</v>
      </c>
      <c r="D20" s="95"/>
      <c r="E20" s="142">
        <v>0.3</v>
      </c>
      <c r="F20" s="66"/>
      <c r="G20" s="48" t="s">
        <v>84</v>
      </c>
      <c r="H20" s="59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4" t="s">
        <v>143</v>
      </c>
      <c r="D21" s="95"/>
      <c r="E21" s="91"/>
      <c r="F21" s="66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/>
      </c>
      <c r="B22" s="62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91"/>
      <c r="F22" s="66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1">
      <c r="A23" s="143" t="s">
        <v>200</v>
      </c>
      <c r="B23" s="143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142">
        <v>0.04</v>
      </c>
      <c r="F23" s="66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0" t="s">
        <v>201</v>
      </c>
      <c r="B24" s="141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142">
        <v>0.02</v>
      </c>
      <c r="F24" s="66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45556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45546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AB6DBF4-C702-434A-9ABF-0557AD46CAC8}"/>
</file>

<file path=customXml/itemProps2.xml><?xml version="1.0" encoding="utf-8"?>
<ds:datastoreItem xmlns:ds="http://schemas.openxmlformats.org/officeDocument/2006/customXml" ds:itemID="{6E7F19AF-421C-451F-9BD8-ED95A27BD049}"/>
</file>

<file path=customXml/itemProps3.xml><?xml version="1.0" encoding="utf-8"?>
<ds:datastoreItem xmlns:ds="http://schemas.openxmlformats.org/officeDocument/2006/customXml" ds:itemID="{B9D19BF3-895D-4879-9C94-363DD7059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2024-08-21T02:35:50Z</cp:lastPrinted>
  <dcterms:created xsi:type="dcterms:W3CDTF">2019-11-27T23:28:06Z</dcterms:created>
  <dcterms:modified xsi:type="dcterms:W3CDTF">2024-08-23T02:52:48Z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