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C56913C-E5B4-47DE-A78E-DE6416749C2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<sst xmlns="http://schemas.openxmlformats.org/spreadsheetml/2006/main" count="310" uniqueCount="206">
  <si>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</si>
  <si>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</si>
  <si>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</si>
  <si>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</si>
  <si>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</si>
  <si>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</si>
  <si>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</si>
  <si>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</si>
  <si>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</si>
  <si>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</si>
  <si>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</si>
  <si>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</si>
  <si>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</si>
  <si>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</si>
  <si>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</si>
  <si>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</si>
  <si>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</si>
  <si>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</si>
  <si>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</si>
  <si>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</si>
  <si>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</si>
  <si>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</si>
  <si>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</si>
  <si>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</si>
  <si>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</si>
  <si>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</si>
  <si>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</si>
  <si>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</si>
  <si>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</si>
  <si>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</si>
  <si>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</si>
  <si>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</si>
  <si>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</si>
  <si>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</si>
  <si>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</si>
  <si>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</si>
  <si>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</si>
  <si>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</si>
  <si>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</si>
  <si>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</si>
  <si>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</si>
  <si>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</si>
  <si>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</si>
  <si>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</si>
  <si>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</si>
  <si>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</si>
  <si>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</si>
  <si>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</si>
  <si>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</si>
  <si>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</si>
  <si>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</si>
  <si>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</si>
  <si>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</si>
  <si>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</si>
  <si>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</si>
  <si>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</si>
  <si>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</si>
  <si>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</si>
  <si>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</si>
  <si>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</si>
  <si>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</si>
  <si>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</si>
  <si>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</si>
  <si>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</si>
  <si>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</si>
  <si>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</si>
  <si>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</si>
  <si>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</si>
  <si>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</si>
  <si>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</si>
  <si>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</si>
  <si>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</si>
  <si>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</si>
  <si>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</si>
  <si>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</si>
  <si>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</si>
  <si>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</si>
  <si>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</si>
  <si>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</si>
  <si>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</si>
  <si>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</si>
  <si>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</si>
  <si>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</si>
  <si>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</si>
  <si>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</si>
  <si>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</si>
  <si>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</si>
  <si>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</si>
  <si>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</si>
  <si>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</si>
  <si>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</si>
  <si>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</si>
  <si>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</si>
  <si>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</si>
  <si>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</si>
  <si>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</si>
  <si>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</si>
  <si>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</si>
  <si>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</si>
  <si>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</si>
  <si>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</si>
  <si>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</si>
  <si>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</si>
  <si>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</si>
  <si>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</si>
  <si>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</si>
  <si>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</si>
  <si>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</si>
  <si>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</si>
  <si>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</si>
  <si>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</si>
  <si>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</si>
  <si>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</si>
  <si>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</si>
  <si>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</si>
  <si>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</si>
  <si>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</si>
  <si>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</si>
  <si>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</si>
  <si>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</si>
  <si>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</si>
  <si>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</si>
  <si>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</si>
  <si>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</si>
  <si>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</si>
  <si>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</si>
  <si>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</si>
  <si>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</si>
  <si>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</si>
  <si>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</si>
  <si>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</si>
  <si>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</si>
  <si>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</si>
  <si>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</si>
  <si>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</si>
  <si>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</si>
  <si>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</si>
  <si>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</si>
  <si>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</si>
  <si>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</si>
  <si>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</si>
  <si>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</si>
  <si>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</si>
  <si>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</si>
  <si>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</si>
  <si>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</si>
  <si>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</si>
  <si>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</si>
  <si>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</si>
  <si>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</si>
  <si>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</si>
  <si>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</si>
  <si>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</si>
  <si>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</si>
  <si>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</si>
  <si>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</si>
  <si>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</si>
  <si>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</si>
  <si>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</si>
  <si>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</si>
  <si>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</si>
  <si>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</si>
  <si>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</si>
  <si>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</si>
  <si>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</si>
  <si>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</si>
  <si>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</si>
  <si>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</si>
  <si>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</si>
  <si>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</si>
  <si>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</si>
  <si>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</si>
  <si>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</si>
  <si>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</si>
  <si>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</si>
  <si>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</si>
  <si>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</si>
  <si>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</si>
  <si>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</si>
  <si>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</si>
  <si>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</si>
  <si>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</si>
  <si>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</si>
  <si>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</si>
  <si>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</si>
  <si>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</si>
  <si>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</si>
  <si>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</si>
  <si>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</si>
  <si>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</si>
  <si>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</si>
  <si>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</si>
  <si>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</si>
  <si>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</si>
  <si>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BROWN</t>
  </si>
  <si>
    <t>BAG INSERT LARGE</t>
  </si>
  <si>
    <t>ANTISTATIC</t>
  </si>
  <si>
    <t>RUN AT 30um</t>
  </si>
  <si>
    <t xml:space="preserve"> +/- 5mm</t>
  </si>
  <si>
    <t xml:space="preserve">LIMAX </t>
  </si>
  <si>
    <t>Notes NEEDS MORE ANTISTATIC</t>
  </si>
  <si>
    <t>MUST BE SOLID BROWN - FILM MUST NOT BE SPLITTY - MUST HAVE ANTISTATIC</t>
  </si>
  <si>
    <t>#45</t>
  </si>
  <si>
    <t>ANTIBLOCK</t>
  </si>
  <si>
    <t>SAXON AGENCIES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</si>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</sst>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996633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996633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08" t="str">
        <f>O9&amp;R9&amp;IF(X8="G","G","")&amp;IF(O8="Centrefold Roll","("&amp;E8&amp;")","")&amp;T9&amp;V9&amp;C22&amp;C23&amp;C24&amp;O11&amp;R11</f>
        <v>PB650105030BR0AS</v>
      </c>
      <c r="C1" s="108"/>
      <c r="D1" s="109"/>
      <c r="E1" s="9" t="s">
        <v>57</v>
      </c>
      <c r="F1" s="61" t="s">
        <v>204</v>
      </c>
      <c r="G1" s="61"/>
      <c r="H1" s="62"/>
      <c r="I1" s="10" t="s">
        <v>181</v>
      </c>
      <c r="J1" s="119">
        <f ca="1">TODAY()</f>
        <v>45868</v>
      </c>
      <c r="K1" s="119"/>
      <c r="L1" s="120"/>
      <c r="M1" s="27"/>
      <c r="N1" s="9" t="s">
        <v>56</v>
      </c>
      <c r="O1" s="108" t="str">
        <f>B1</f>
        <v>PB650105030BR0AS</v>
      </c>
      <c r="P1" s="108"/>
      <c r="Q1" s="109"/>
      <c r="R1" s="9" t="s">
        <v>57</v>
      </c>
      <c r="S1" s="108" t="str">
        <f>F1</f>
        <v>SAXON AGENCIES</v>
      </c>
      <c r="T1" s="108"/>
      <c r="U1" s="109"/>
      <c r="V1" s="9" t="s">
        <v>181</v>
      </c>
      <c r="W1" s="119">
        <f ca="1">J1</f>
        <v>45868</v>
      </c>
      <c r="X1" s="119"/>
      <c r="Y1" s="120"/>
    </row>
    <row r="2" spans="1:25" ht="20.149999999999999" customHeight="1" x14ac:dyDescent="0.8">
      <c r="A2" s="9" t="s">
        <v>100</v>
      </c>
      <c r="B2" s="108" t="str">
        <f>IF(U10="","",U10)</f>
        <v>BAG INSERT LARGE</v>
      </c>
      <c r="C2" s="108"/>
      <c r="D2" s="109"/>
      <c r="E2" s="9" t="s">
        <v>58</v>
      </c>
      <c r="F2" s="61">
        <v>950391</v>
      </c>
      <c r="G2" s="61"/>
      <c r="H2" s="62"/>
      <c r="I2" s="9" t="s">
        <v>59</v>
      </c>
      <c r="J2" s="122">
        <v>45889</v>
      </c>
      <c r="K2" s="61"/>
      <c r="L2" s="62"/>
      <c r="M2" s="27"/>
      <c r="N2" s="9" t="s">
        <v>100</v>
      </c>
      <c r="O2" s="108" t="str">
        <f>IF(B2="","",B2)</f>
        <v>BAG INSERT LARGE</v>
      </c>
      <c r="P2" s="108"/>
      <c r="Q2" s="109"/>
      <c r="R2" s="9" t="s">
        <v>58</v>
      </c>
      <c r="S2" s="108">
        <f>IF(F2="","",F2)</f>
        <v>950391</v>
      </c>
      <c r="T2" s="108"/>
      <c r="U2" s="109"/>
      <c r="V2" s="9" t="s">
        <v>59</v>
      </c>
      <c r="W2" s="121">
        <f>J2</f>
        <v>45889</v>
      </c>
      <c r="X2" s="108"/>
      <c r="Y2" s="109"/>
    </row>
    <row r="3" spans="1:25" ht="20.149999999999999" customHeight="1" x14ac:dyDescent="0.75">
      <c r="A3" s="110" t="s">
        <v>201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7"/>
      <c r="N3" s="110" t="str">
        <f>A3</f>
        <v>MUST BE SOLID BROWN - FILM MUST NOT BE SPLITTY - MUST HAVE ANTISTATIC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7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7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49999999999999" customHeight="1" x14ac:dyDescent="0.9">
      <c r="A7" s="9" t="s">
        <v>49</v>
      </c>
      <c r="B7" s="100" t="s">
        <v>194</v>
      </c>
      <c r="C7" s="100"/>
      <c r="D7" s="100"/>
      <c r="E7" s="100"/>
      <c r="F7" s="100"/>
      <c r="G7" s="100"/>
      <c r="H7" s="100"/>
      <c r="I7" s="101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10</v>
      </c>
      <c r="P7" s="62"/>
      <c r="Q7" s="9" t="str">
        <f>IF(ISNUMBER(SEARCH("roll",O8,1)),"Per Roll","Per Carton")</f>
        <v>Per Carton</v>
      </c>
      <c r="R7" s="61">
        <v>400</v>
      </c>
      <c r="S7" s="62"/>
      <c r="T7" s="9" t="str">
        <f>IF(ISNUMBER(SEARCH("bag",O8,1)),"Total Bags","Total Sheets")</f>
        <v>Total Bags</v>
      </c>
      <c r="U7" s="108">
        <f>R7*O7</f>
        <v>4000</v>
      </c>
      <c r="V7" s="109"/>
      <c r="W7" s="9" t="s">
        <v>102</v>
      </c>
      <c r="X7" s="61" t="s">
        <v>23</v>
      </c>
      <c r="Y7" s="62"/>
    </row>
    <row r="8" spans="1:25" ht="20.149999999999999" customHeight="1" x14ac:dyDescent="0.8">
      <c r="A8" s="11" t="s">
        <v>16</v>
      </c>
      <c r="B8" s="96">
        <f>R9</f>
        <v>650</v>
      </c>
      <c r="C8" s="97"/>
      <c r="D8" s="25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1" t="s">
        <v>52</v>
      </c>
      <c r="H8" s="96">
        <f>(IF(V9&lt;30,"30",V9))</f>
        <v>30</v>
      </c>
      <c r="I8" s="97"/>
      <c r="J8" s="9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7"/>
      <c r="N8" s="12" t="s">
        <v>54</v>
      </c>
      <c r="O8" s="98" t="s">
        <v>164</v>
      </c>
      <c r="P8" s="99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4" t="s">
        <v>48</v>
      </c>
      <c r="B9" s="125" t="s">
        <v>198</v>
      </c>
      <c r="C9" s="126"/>
      <c r="D9" s="133" t="str">
        <f>IF(K10="Middle","RUN 2 UP",IF(AND(O8="Centrefold Roll",B8=380),"RUN 2 UP",""))</f>
        <v/>
      </c>
      <c r="E9" s="100"/>
      <c r="F9" s="101"/>
      <c r="G9" s="14" t="s">
        <v>48</v>
      </c>
      <c r="H9" s="125" t="s">
        <v>197</v>
      </c>
      <c r="I9" s="126"/>
      <c r="J9" s="9" t="s">
        <v>55</v>
      </c>
      <c r="K9" s="61" t="s">
        <v>30</v>
      </c>
      <c r="L9" s="62"/>
      <c r="M9" s="27"/>
      <c r="N9" s="15"/>
      <c r="O9" s="102" t="str">
        <f>IF(O8="Poly Bag","PB",IF(O8="Poly Bag Roll","PBR",IF(O8="Centrefold Roll","CFR",IF(O8="Sheet","S",IF(O8="Sheet Roll","SR")))))</f>
        <v>PB</v>
      </c>
      <c r="P9" s="103"/>
      <c r="Q9" s="15"/>
      <c r="R9" s="28">
        <v>650</v>
      </c>
      <c r="S9" s="16" t="s">
        <v>78</v>
      </c>
      <c r="T9" s="28">
        <v>1050</v>
      </c>
      <c r="U9" s="16" t="s">
        <v>78</v>
      </c>
      <c r="V9" s="28">
        <v>30</v>
      </c>
      <c r="W9" s="15"/>
      <c r="X9" s="87"/>
      <c r="Y9" s="88"/>
    </row>
    <row r="10" spans="1:25" ht="20.149999999999999" customHeight="1" x14ac:dyDescent="0.8">
      <c r="A10" s="9" t="s">
        <v>51</v>
      </c>
      <c r="B10" s="61">
        <v>5</v>
      </c>
      <c r="C10" s="62"/>
      <c r="D10" s="45" t="s">
        <v>134</v>
      </c>
      <c r="E10" s="127">
        <f>IF(ISNUMBER(SEARCH("sheet",O8,1)),((R9*T9*H8/540000)*U7/2000*1.3),((R9*T9*H8/540000)*U7/1000*1.08))</f>
        <v>163.80000000000001</v>
      </c>
      <c r="F10" s="128"/>
      <c r="G10" s="9" t="s">
        <v>53</v>
      </c>
      <c r="H10" s="131">
        <f>IF(ISNUMBER(SEARCH("sheet",O8,1)),(U7*T9/2000*1.08),(U7*T9/1000*1.08))</f>
        <v>4536</v>
      </c>
      <c r="I10" s="132"/>
      <c r="J10" s="9" t="s">
        <v>41</v>
      </c>
      <c r="K10" s="61" t="s">
        <v>44</v>
      </c>
      <c r="L10" s="62"/>
      <c r="M10" s="27"/>
      <c r="N10" s="12" t="s">
        <v>141</v>
      </c>
      <c r="O10" s="98" t="s">
        <v>44</v>
      </c>
      <c r="P10" s="99"/>
      <c r="Q10" s="12" t="s">
        <v>50</v>
      </c>
      <c r="R10" s="94" t="str">
        <f>IF(K11="NONE","None",IF(K11="INLINE","Yes",IF(K11="OUT OF LINE","Yes")))</f>
        <v>None</v>
      </c>
      <c r="S10" s="94"/>
      <c r="T10" s="12" t="s">
        <v>100</v>
      </c>
      <c r="U10" s="104" t="s">
        <v>195</v>
      </c>
      <c r="V10" s="104"/>
      <c r="W10" s="104"/>
      <c r="X10" s="104"/>
      <c r="Y10" s="105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9" t="s">
        <v>135</v>
      </c>
      <c r="E11" s="129">
        <f>E10/B10</f>
        <v>32.760000000000005</v>
      </c>
      <c r="F11" s="130"/>
      <c r="G11" s="9" t="s">
        <v>15</v>
      </c>
      <c r="H11" s="129">
        <f>H10/B10</f>
        <v>907.2</v>
      </c>
      <c r="I11" s="130"/>
      <c r="J11" s="9" t="s">
        <v>50</v>
      </c>
      <c r="K11" s="61" t="s">
        <v>44</v>
      </c>
      <c r="L11" s="62"/>
      <c r="M11" s="27"/>
      <c r="N11" s="11"/>
      <c r="O11" s="96" t="str">
        <f>IF(O10="NONE","","V")</f>
        <v/>
      </c>
      <c r="P11" s="97"/>
      <c r="Q11" s="11"/>
      <c r="R11" s="96" t="str">
        <f>IF(R10="None","","P")</f>
        <v/>
      </c>
      <c r="S11" s="97"/>
      <c r="T11" s="11"/>
      <c r="U11" s="106"/>
      <c r="V11" s="106"/>
      <c r="W11" s="106"/>
      <c r="X11" s="106"/>
      <c r="Y11" s="107"/>
    </row>
    <row r="12" spans="1:25" ht="20.149999999999999" customHeight="1" x14ac:dyDescent="0.7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49999999999999" customHeight="1" x14ac:dyDescent="0.8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10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49999999999999" customHeight="1" x14ac:dyDescent="0.7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49999999999999" customHeight="1" x14ac:dyDescent="0.8">
      <c r="A16" s="65" t="s">
        <v>3</v>
      </c>
      <c r="B16" s="67"/>
      <c r="C16" s="65" t="s">
        <v>142</v>
      </c>
      <c r="D16" s="67"/>
      <c r="E16" s="137" t="s">
        <v>4</v>
      </c>
      <c r="F16" s="137"/>
      <c r="G16" s="137" t="s">
        <v>5</v>
      </c>
      <c r="H16" s="137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 t="s">
        <v>169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60" t="s">
        <v>6</v>
      </c>
      <c r="B17" s="60"/>
      <c r="C17" s="92" t="s">
        <v>147</v>
      </c>
      <c r="D17" s="93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31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49999999999999" customHeight="1" x14ac:dyDescent="0.8">
      <c r="A18" s="60" t="s">
        <v>7</v>
      </c>
      <c r="B18" s="60"/>
      <c r="C18" s="92" t="s">
        <v>146</v>
      </c>
      <c r="D18" s="93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49999999999999" customHeight="1" x14ac:dyDescent="0.75">
      <c r="A19" s="60" t="s">
        <v>8</v>
      </c>
      <c r="B19" s="60"/>
      <c r="C19" s="92" t="s">
        <v>145</v>
      </c>
      <c r="D19" s="93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60" t="s">
        <v>9</v>
      </c>
      <c r="B20" s="60"/>
      <c r="C20" s="92" t="s">
        <v>144</v>
      </c>
      <c r="D20" s="93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60" t="s">
        <v>10</v>
      </c>
      <c r="B21" s="60"/>
      <c r="C21" s="92" t="s">
        <v>143</v>
      </c>
      <c r="D21" s="93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60" t="str">
        <f>(IF(B7="NATURAL","",B7))</f>
        <v>BROWN</v>
      </c>
      <c r="B22" s="60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IF(A22="","",IF(A22="NATURAL","",IF(A22="BLACK","BK",IF(A22="WHITE","WH",IF(A22="YELLOW","Y",IF(A22="PURPLE","PU",IF(A22="BLUE","BL",IF(A22="RED","R",IF(A22="GREEN","GR",IF(A22="ORANGE","OR",IF(A22="LILAC","LI",IF(A22="MAROON","MA",IF(A22="BROWN","BR",IF(A22="WHITE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BR</v>
      </c>
      <c r="D22" s="93"/>
      <c r="E22" s="89">
        <v>0.04</v>
      </c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138" t="s">
        <v>203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49999999999999" customHeight="1" x14ac:dyDescent="0.75">
      <c r="A24" s="139" t="s">
        <v>196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89">
        <v>0.02</v>
      </c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199</v>
      </c>
      <c r="P25" s="32"/>
      <c r="Q25" s="8">
        <v>28</v>
      </c>
      <c r="R25" s="8"/>
      <c r="S25" s="8"/>
      <c r="T25" s="8"/>
      <c r="U25" s="8"/>
      <c r="V25" s="8"/>
      <c r="W25" s="8">
        <v>15</v>
      </c>
      <c r="X25" s="8">
        <v>11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1" t="s">
        <v>132</v>
      </c>
      <c r="H26" s="91"/>
      <c r="I26" s="91" t="s">
        <v>131</v>
      </c>
      <c r="J26" s="91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49999999999999" customHeight="1" x14ac:dyDescent="0.75">
      <c r="A27" s="20" t="s">
        <v>96</v>
      </c>
      <c r="B27" s="7" t="s">
        <v>202</v>
      </c>
      <c r="C27" s="7"/>
      <c r="D27" s="8">
        <v>22</v>
      </c>
      <c r="E27" s="57">
        <v>9.6</v>
      </c>
      <c r="F27" s="7"/>
      <c r="G27" s="90"/>
      <c r="H27" s="90"/>
      <c r="I27" s="90"/>
      <c r="J27" s="90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205</v>
      </c>
      <c r="C28" s="7"/>
      <c r="D28" s="8">
        <v>17.2</v>
      </c>
      <c r="E28" s="57">
        <v>8.8000000000000007</v>
      </c>
      <c r="F28" s="7"/>
      <c r="G28" s="90"/>
      <c r="H28" s="90"/>
      <c r="I28" s="90"/>
      <c r="J28" s="90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74" t="s">
        <v>200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3" priority="7" operator="containsText" text="MAROON">
      <formula>NOT(ISERROR(SEARCH("MAROON",B7)))</formula>
    </cfRule>
    <cfRule type="containsText" dxfId="12" priority="8" operator="containsText" text="ORANGE">
      <formula>NOT(ISERROR(SEARCH("ORANGE",B7)))</formula>
    </cfRule>
    <cfRule type="containsText" dxfId="11" priority="9" operator="containsText" text="GREEN">
      <formula>NOT(ISERROR(SEARCH("GREEN",B7)))</formula>
    </cfRule>
    <cfRule type="containsText" dxfId="10" priority="10" operator="containsText" text="RED">
      <formula>NOT(ISERROR(SEARCH("RED",B7)))</formula>
    </cfRule>
    <cfRule type="containsText" dxfId="9" priority="11" operator="containsText" text="WHITE">
      <formula>NOT(ISERROR(SEARCH("WHITE",B7)))</formula>
    </cfRule>
    <cfRule type="containsText" dxfId="8" priority="12" operator="containsText" text="PURPLE">
      <formula>NOT(ISERROR(SEARCH("PURPLE",B7)))</formula>
    </cfRule>
    <cfRule type="containsText" dxfId="7" priority="13" operator="containsText" text="BLUE">
      <formula>NOT(ISERROR(SEARCH("BLUE",B7)))</formula>
    </cfRule>
    <cfRule type="containsText" dxfId="6" priority="14" operator="containsText" text="YELLOW">
      <formula>NOT(ISERROR(SEARCH("YELLOW",B7)))</formula>
    </cfRule>
  </conditionalFormatting>
  <conditionalFormatting sqref="B7:I7">
    <cfRule type="containsText" dxfId="5" priority="1" operator="containsText" text="BROWN">
      <formula>NOT(ISERROR(SEARCH("BROWN",B7)))</formula>
    </cfRule>
    <cfRule type="containsText" dxfId="4" priority="4" operator="containsText" text="BLACK">
      <formula>NOT(ISERROR(SEARCH("BLACK",B7)))</formula>
    </cfRule>
  </conditionalFormatting>
  <conditionalFormatting sqref="J2">
    <cfRule type="containsText" dxfId="3" priority="3" operator="containsText" text="ASAP">
      <formula>NOT(ISERROR(SEARCH("ASAP",J2)))</formula>
    </cfRule>
  </conditionalFormatting>
  <conditionalFormatting sqref="J13 B7">
    <cfRule type="containsText" dxfId="2" priority="6" operator="containsText" text="LILAC">
      <formula>NOT(ISERROR(SEARCH("LILAC",B7)))</formula>
    </cfRule>
  </conditionalFormatting>
  <conditionalFormatting sqref="J13">
    <cfRule type="containsText" dxfId="1" priority="5" operator="containsText" text="BLACK">
      <formula>NOT(ISERROR(SEARCH("BLACK",J13)))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dataValidations count="1">
    <dataValidation allowBlank="1" showInputMessage="1" sqref="A3:L5" xr:uid="{A0F15436-1620-454B-838D-9BBFC738DE0D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45899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45889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194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157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158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159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160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162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175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3" t="s">
        <v>184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5" t="s">
        <v>46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 t="s">
        <v>34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5" t="s">
        <v>47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5" t="s">
        <v>45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19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5" t="s">
        <v>63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44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65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" t="s">
        <v>64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5" t="s">
        <v>68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44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70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5" t="s">
        <v>69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1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5" t="s">
        <v>61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44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66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5" t="s">
        <v>67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1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54" t="s">
        <v>62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19" t="s">
        <v>44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2" t="s">
        <v>177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155</v>
      </c>
    </row>
    <row r="60" spans="1:20" x14ac:dyDescent="0.75">
      <c r="A60" s="53" t="s">
        <v>148</v>
      </c>
      <c r="O60" s="1"/>
      <c r="Q60" s="1"/>
      <c r="R60" s="3"/>
      <c r="S60" s="1"/>
    </row>
    <row r="61" spans="1:20" x14ac:dyDescent="0.75">
      <c r="A61" s="53" t="s">
        <v>149</v>
      </c>
      <c r="O61" s="1"/>
      <c r="Q61" s="1"/>
      <c r="R61" s="1"/>
      <c r="S61" s="1"/>
    </row>
    <row r="62" spans="1:20" x14ac:dyDescent="0.75">
      <c r="A62" s="53" t="s">
        <v>150</v>
      </c>
      <c r="O62" s="1"/>
      <c r="Q62" s="1"/>
      <c r="R62" s="1"/>
      <c r="S62" s="1"/>
    </row>
    <row r="63" spans="1:20" x14ac:dyDescent="0.75">
      <c r="A63" s="53" t="s">
        <v>151</v>
      </c>
      <c r="O63" s="1"/>
      <c r="Q63" s="1"/>
      <c r="R63" s="1"/>
      <c r="S63" s="1"/>
      <c r="T63" s="1"/>
    </row>
    <row r="64" spans="1:20" x14ac:dyDescent="0.75">
      <c r="A64" s="53" t="s">
        <v>152</v>
      </c>
      <c r="O64" s="1"/>
      <c r="Q64" s="1"/>
      <c r="R64" s="1"/>
      <c r="S64" s="1"/>
      <c r="T64" s="1"/>
    </row>
    <row r="65" spans="1:20" x14ac:dyDescent="0.75">
      <c r="A65" s="53" t="s">
        <v>153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174</v>
      </c>
      <c r="N66" s="4"/>
      <c r="O66" s="1"/>
      <c r="P66" s="1"/>
      <c r="Q66" s="1"/>
      <c r="R66" s="1"/>
      <c r="S66" s="1"/>
      <c r="T66" s="1"/>
    </row>
    <row r="67" spans="1:20" x14ac:dyDescent="0.75">
      <c r="A67" s="53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ABECA15-BA10-42B9-BF71-1CFD99278560}"/>
</file>

<file path=customXml/itemProps2.xml><?xml version="1.0" encoding="utf-8"?>
<ds:datastoreItem xmlns:ds="http://schemas.openxmlformats.org/officeDocument/2006/customXml" ds:itemID="{3F49EC65-3F0A-4E81-BCE8-AEB47A7281B3}"/>
</file>

<file path=customXml/itemProps3.xml><?xml version="1.0" encoding="utf-8"?>
<ds:datastoreItem xmlns:ds="http://schemas.openxmlformats.org/officeDocument/2006/customXml" ds:itemID="{B3059FB6-DFB6-48D3-AA62-7A16B84AB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2025-07-30T00:33:08Z</cp:lastPrinted>
  <dcterms:created xsi:type="dcterms:W3CDTF">2019-11-27T23:28:06Z</dcterms:created>
  <dcterms:modified xsi:type="dcterms:W3CDTF">2025-08-05T01:09:28Z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