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BBBED103-FEA6-4DDF-BBC3-B2DB82A3497F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<sst xmlns="http://schemas.openxmlformats.org/spreadsheetml/2006/main" count="303" uniqueCount="199">
  <si>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</si>
  <si>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</si>
  <si>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</si>
  <si>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</si>
  <si>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</si>
  <si>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</si>
  <si>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</si>
  <si>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</si>
  <si>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</si>
  <si>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</si>
  <si>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</si>
  <si>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</si>
  <si>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</si>
  <si>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</si>
  <si>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</si>
  <si>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</si>
  <si>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</si>
  <si>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</si>
  <si>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</si>
  <si>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</si>
  <si>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</si>
  <si>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</si>
  <si>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</si>
  <si>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</si>
  <si>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</si>
  <si>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</si>
  <si>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</si>
  <si>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</si>
  <si>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</si>
  <si>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</si>
  <si>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</si>
  <si>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</si>
  <si>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</si>
  <si>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</si>
  <si>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</si>
  <si>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</si>
  <si>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</si>
  <si>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</si>
  <si>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</si>
  <si>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</si>
  <si>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</si>
  <si>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</si>
  <si>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</si>
  <si>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</si>
  <si>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</si>
  <si>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</si>
  <si>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</si>
  <si>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</si>
  <si>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</si>
  <si>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</si>
  <si>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</si>
  <si>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</si>
  <si>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</si>
  <si>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</si>
  <si>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</si>
  <si>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</si>
  <si>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</si>
  <si>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</si>
  <si>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</si>
  <si>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</si>
  <si>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</si>
  <si>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</si>
  <si>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</si>
  <si>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</si>
  <si>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</si>
  <si>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</si>
  <si>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</si>
  <si>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</si>
  <si>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</si>
  <si>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</si>
  <si>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</si>
  <si>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</si>
  <si>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</si>
  <si>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</si>
  <si>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</si>
  <si>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</si>
  <si>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</si>
  <si>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</si>
  <si>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</si>
  <si>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</si>
  <si>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</si>
  <si>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</si>
  <si>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</si>
  <si>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</si>
  <si>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</si>
  <si>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</si>
  <si>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</si>
  <si>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</si>
  <si>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</si>
  <si>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</si>
  <si>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</si>
  <si>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</si>
  <si>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</si>
  <si>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</si>
  <si>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</si>
  <si>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</si>
  <si>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</si>
  <si>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</si>
  <si>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</si>
  <si>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</si>
  <si>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</si>
  <si>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</si>
  <si>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</si>
  <si>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</si>
  <si>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</si>
  <si>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</si>
  <si>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</si>
  <si>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</si>
  <si>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</si>
  <si>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</si>
  <si>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</si>
  <si>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</si>
  <si>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</si>
  <si>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</si>
  <si>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</si>
  <si>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</si>
  <si>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</si>
  <si>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</si>
  <si>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</si>
  <si>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</si>
  <si>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</si>
  <si>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</si>
  <si>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</si>
  <si>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</si>
  <si>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</si>
  <si>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</si>
  <si>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</si>
  <si>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</si>
  <si>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</si>
  <si>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</si>
  <si>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</si>
  <si>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</si>
  <si>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</si>
  <si>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</si>
  <si>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</si>
  <si>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</si>
  <si>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</si>
  <si>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</si>
  <si>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</si>
  <si>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</si>
  <si>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</si>
  <si>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</si>
  <si>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</si>
  <si>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</si>
  <si>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</si>
  <si>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</si>
  <si>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</si>
  <si>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</si>
  <si>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</si>
  <si>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</si>
  <si>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</si>
  <si>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</si>
  <si>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</si>
  <si>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</si>
  <si>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</si>
  <si>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</si>
  <si>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</si>
  <si>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</si>
  <si>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</si>
  <si>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</si>
  <si>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</si>
  <si>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</si>
  <si>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</si>
  <si>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</si>
  <si>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</si>
  <si>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</si>
  <si>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</si>
  <si>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</si>
  <si>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</si>
  <si>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</si>
  <si>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</si>
  <si>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</si>
  <si>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</si>
  <si>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</si>
  <si>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</si>
  <si>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</si>
  <si>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</si>
  <si>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</si>
  <si>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</si>
  <si>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</si>
  <si>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</si>
  <si>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</si>
  <si>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</si>
  <si>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</si>
  <si>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</si>
  <si>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</si>
  <si>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</si>
  <si>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</si>
  <si>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</si>
  <si>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</si>
  <si>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</si>
  <si>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</si>
  <si>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</si>
  <si>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</si>
  <si>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</si>
  <si>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MUST HAVE WATER TIGHT SEALS</t>
  </si>
  <si>
    <t xml:space="preserve">LIMAX </t>
  </si>
  <si>
    <t>SALTY DOG KAYAKING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</si>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</sst>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PB3501000100</v>
      </c>
      <c r="C1" s="122"/>
      <c r="D1" s="123"/>
      <c r="E1" s="12" t="s">
        <v>57</v>
      </c>
      <c r="F1" s="133" t="s">
        <v>197</v>
      </c>
      <c r="G1" s="134"/>
      <c r="H1" s="135"/>
      <c r="I1" s="13" t="s">
        <v>181</v>
      </c>
      <c r="J1" s="95">
        <f ca="1">TODAY()</f>
        <v>44315</v>
      </c>
      <c r="K1" s="95"/>
      <c r="L1" s="96"/>
      <c r="M1" s="34"/>
      <c r="N1" s="12" t="s">
        <v>56</v>
      </c>
      <c r="O1" s="122" t="str">
        <f>B1</f>
        <v>PB3501000100</v>
      </c>
      <c r="P1" s="122"/>
      <c r="Q1" s="123"/>
      <c r="R1" s="12" t="s">
        <v>57</v>
      </c>
      <c r="S1" s="122" t="str">
        <f>F1</f>
        <v>SALTY DOG KAYAKING</v>
      </c>
      <c r="T1" s="122"/>
      <c r="U1" s="123"/>
      <c r="V1" s="12" t="s">
        <v>181</v>
      </c>
      <c r="W1" s="95">
        <f ca="1">J1</f>
        <v>44315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940196</v>
      </c>
      <c r="G2" s="98"/>
      <c r="H2" s="99"/>
      <c r="I2" s="12" t="s">
        <v>59</v>
      </c>
      <c r="J2" s="97">
        <v>44345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940196</v>
      </c>
      <c r="T2" s="122"/>
      <c r="U2" s="123"/>
      <c r="V2" s="12" t="s">
        <v>59</v>
      </c>
      <c r="W2" s="136">
        <f>J2</f>
        <v>44345</v>
      </c>
      <c r="X2" s="122"/>
      <c r="Y2" s="123"/>
    </row>
    <row r="3" spans="1:28" ht="20.100000000000001" customHeight="1" x14ac:dyDescent="0.25">
      <c r="A3" s="124" t="s">
        <v>195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MUST HAVE WATER TIGHT SEALS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8</v>
      </c>
      <c r="P7" s="99"/>
      <c r="Q7" s="12" t="str">
        <f>IF(ISNUMBER(SEARCH("roll",O8,1)),"Per Roll","Per Carton")</f>
        <v>Per Carton</v>
      </c>
      <c r="R7" s="98">
        <v>250</v>
      </c>
      <c r="S7" s="99"/>
      <c r="T7" s="12" t="str">
        <f>IF(ISNUMBER(SEARCH("bag",O8,1)),"Total Bags","Total Sheets")</f>
        <v>Total Bags</v>
      </c>
      <c r="U7" s="122">
        <f>R7*O7</f>
        <v>2000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350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100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198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350</v>
      </c>
      <c r="S9" s="20" t="s">
        <v>78</v>
      </c>
      <c r="T9" s="35">
        <v>1000</v>
      </c>
      <c r="U9" s="20" t="s">
        <v>78</v>
      </c>
      <c r="V9" s="35">
        <v>100</v>
      </c>
      <c r="W9" s="19"/>
      <c r="X9" s="152"/>
      <c r="Y9" s="153"/>
    </row>
    <row r="10" spans="1:28" ht="20.100000000000001" customHeight="1" x14ac:dyDescent="0.25">
      <c r="A10" s="12" t="s">
        <v>51</v>
      </c>
      <c r="B10" s="98">
        <v>5</v>
      </c>
      <c r="C10" s="99"/>
      <c r="D10" s="54" t="s">
        <v>134</v>
      </c>
      <c r="E10" s="112">
        <f>IF(ISNUMBER(SEARCH("sheet",O8,1)),((R9*T9*H8/540000)*U7/2000*1.3),((R9*T9*H8/540000)*U7/1000*1.08))</f>
        <v>140</v>
      </c>
      <c r="F10" s="113"/>
      <c r="G10" s="12" t="s">
        <v>53</v>
      </c>
      <c r="H10" s="116">
        <f>IF(ISNUMBER(SEARCH("sheet",O8,1)),(U7*T9/2000*1.08),(U7*T9/1000*1.08))</f>
        <v>2160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/>
      <c r="V10" s="144"/>
      <c r="W10" s="144"/>
      <c r="X10" s="144"/>
      <c r="Y10" s="14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28</v>
      </c>
      <c r="F11" s="115"/>
      <c r="G11" s="12" t="s">
        <v>15</v>
      </c>
      <c r="H11" s="114">
        <f>H10/B10</f>
        <v>432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6"/>
      <c r="V11" s="146"/>
      <c r="W11" s="146"/>
      <c r="X11" s="146"/>
      <c r="Y11" s="147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8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8"/>
      <c r="Y17" s="159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0" t="s">
        <v>116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196</v>
      </c>
      <c r="P25" s="39"/>
      <c r="Q25" s="10">
        <v>30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44345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44336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4F2714C-72BA-4F0A-8DE8-D8A520AAD255}"/>
</file>

<file path=customXml/itemProps2.xml><?xml version="1.0" encoding="utf-8"?>
<ds:datastoreItem xmlns:ds="http://schemas.openxmlformats.org/officeDocument/2006/customXml" ds:itemID="{CE776C13-7347-4AF3-A85A-678F1C1F18B0}"/>
</file>

<file path=customXml/itemProps3.xml><?xml version="1.0" encoding="utf-8"?>
<ds:datastoreItem xmlns:ds="http://schemas.openxmlformats.org/officeDocument/2006/customXml" ds:itemID="{6B423D0B-9453-4376-A9FD-1880AED74A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2021-04-29T01:17:46Z</cp:lastPrinted>
  <dcterms:created xsi:type="dcterms:W3CDTF">2019-11-27T23:28:06Z</dcterms:created>
  <dcterms:modified xsi:type="dcterms:W3CDTF">2021-04-29T01:17:59Z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