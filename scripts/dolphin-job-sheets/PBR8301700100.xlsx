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6FD4DAB-EE48-4860-8F83-9512C6D3DA9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<sst xmlns="http://schemas.openxmlformats.org/spreadsheetml/2006/main" count="301" uniqueCount="198">
  <si>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</si>
  <si>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</si>
  <si>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</si>
  <si>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</si>
  <si>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</si>
  <si>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</si>
  <si>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</si>
  <si>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</si>
  <si>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</si>
  <si>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</si>
  <si>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</si>
  <si>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</si>
  <si>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</si>
  <si>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</si>
  <si>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</si>
  <si>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</si>
  <si>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</si>
  <si>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</si>
  <si>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</si>
  <si>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</si>
  <si>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</si>
  <si>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</si>
  <si>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</si>
  <si>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</si>
  <si>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</si>
  <si>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</si>
  <si>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</si>
  <si>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</si>
  <si>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</si>
  <si>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</si>
  <si>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</si>
  <si>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</si>
  <si>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</si>
  <si>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</si>
  <si>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</si>
  <si>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</si>
  <si>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</si>
  <si>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</si>
  <si>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</si>
  <si>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</si>
  <si>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</si>
  <si>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</si>
  <si>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</si>
  <si>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</si>
  <si>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</si>
  <si>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</si>
  <si>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</si>
  <si>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</si>
  <si>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</si>
  <si>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</si>
  <si>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</si>
  <si>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</si>
  <si>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</si>
  <si>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</si>
  <si>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</si>
  <si>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</si>
  <si>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</si>
  <si>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</si>
  <si>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</si>
  <si>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</si>
  <si>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</si>
  <si>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</si>
  <si>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</si>
  <si>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</si>
  <si>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</si>
  <si>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</si>
  <si>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</si>
  <si>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</si>
  <si>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</si>
  <si>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</si>
  <si>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</si>
  <si>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</si>
  <si>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</si>
  <si>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</si>
  <si>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</si>
  <si>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</si>
  <si>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</si>
  <si>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</si>
  <si>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</si>
  <si>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</si>
  <si>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</si>
  <si>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</si>
  <si>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</si>
  <si>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</si>
  <si>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</si>
  <si>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</si>
  <si>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</si>
  <si>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</si>
  <si>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</si>
  <si>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</si>
  <si>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</si>
  <si>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</si>
  <si>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</si>
  <si>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</si>
  <si>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</si>
  <si>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</si>
  <si>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</si>
  <si>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</si>
  <si>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</si>
  <si>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</si>
  <si>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</si>
  <si>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</si>
  <si>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</si>
  <si>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</si>
  <si>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</si>
  <si>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</si>
  <si>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</si>
  <si>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</si>
  <si>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</si>
  <si>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</si>
  <si>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</si>
  <si>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</si>
  <si>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</si>
  <si>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</si>
  <si>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</si>
  <si>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</si>
  <si>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</si>
  <si>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</si>
  <si>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</si>
  <si>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</si>
  <si>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</si>
  <si>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</si>
  <si>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</si>
  <si>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</si>
  <si>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</si>
  <si>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</si>
  <si>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</si>
  <si>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</si>
  <si>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</si>
  <si>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</si>
  <si>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</si>
  <si>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</si>
  <si>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</si>
  <si>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</si>
  <si>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</si>
  <si>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</si>
  <si>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</si>
  <si>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</si>
  <si>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</si>
  <si>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</si>
  <si>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</si>
  <si>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</si>
  <si>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</si>
  <si>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</si>
  <si>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</si>
  <si>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</si>
  <si>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</si>
  <si>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</si>
  <si>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</si>
  <si>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</si>
  <si>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</si>
  <si>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</si>
  <si>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</si>
  <si>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</si>
  <si>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</si>
  <si>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</si>
  <si>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</si>
  <si>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</si>
  <si>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</si>
  <si>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</si>
  <si>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</si>
  <si>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</si>
  <si>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</si>
  <si>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</si>
  <si>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</si>
  <si>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</si>
  <si>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</si>
  <si>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</si>
  <si>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</si>
  <si>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</si>
  <si>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</si>
  <si>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</si>
  <si>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</si>
  <si>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</si>
  <si>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</si>
  <si>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</si>
  <si>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</si>
  <si>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</si>
  <si>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</si>
  <si>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</si>
  <si>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</si>
  <si>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</si>
  <si>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</si>
  <si>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</si>
  <si>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</si>
  <si>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</si>
  <si>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</si>
  <si>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</si>
  <si>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</si>
  <si>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</si>
  <si>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</si>
  <si>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</si>
  <si>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</si>
  <si>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</si>
  <si>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</si>
  <si>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AT 95um</t>
  </si>
  <si>
    <t>PERF INLINE</t>
  </si>
  <si>
    <t>OZONE 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</si>
</sst>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B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PBR8301200100</v>
      </c>
      <c r="C1" s="113"/>
      <c r="D1" s="114"/>
      <c r="E1" s="16" t="s">
        <v>56</v>
      </c>
      <c r="F1" s="94" t="s">
        <v>197</v>
      </c>
      <c r="G1" s="94"/>
      <c r="H1" s="95"/>
      <c r="I1" s="16" t="s">
        <v>180</v>
      </c>
      <c r="J1" s="134">
        <f ca="1">TODAY()</f>
        <v>45868</v>
      </c>
      <c r="K1" s="134"/>
      <c r="L1" s="135"/>
      <c r="M1" s="30"/>
      <c r="N1" s="16" t="s">
        <v>55</v>
      </c>
      <c r="O1" s="113" t="str">
        <f>B1</f>
        <v>PBR8301200100</v>
      </c>
      <c r="P1" s="113"/>
      <c r="Q1" s="114"/>
      <c r="R1" s="16" t="s">
        <v>56</v>
      </c>
      <c r="S1" s="113" t="str">
        <f>F1</f>
        <v>OZONE AUST</v>
      </c>
      <c r="T1" s="113"/>
      <c r="U1" s="114"/>
      <c r="V1" s="16" t="s">
        <v>180</v>
      </c>
      <c r="W1" s="134">
        <f ca="1">J1</f>
        <v>45868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950226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950226</v>
      </c>
      <c r="T2" s="113"/>
      <c r="U2" s="114"/>
      <c r="V2" s="16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1000</v>
      </c>
      <c r="V7" s="114"/>
      <c r="W7" s="16" t="s">
        <v>101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830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195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830</v>
      </c>
      <c r="S9" s="23" t="s">
        <v>77</v>
      </c>
      <c r="T9" s="31">
        <v>1200</v>
      </c>
      <c r="U9" s="23" t="s">
        <v>77</v>
      </c>
      <c r="V9" s="31">
        <v>100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10</v>
      </c>
      <c r="C10" s="95"/>
      <c r="D10" s="49" t="s">
        <v>133</v>
      </c>
      <c r="E10" s="115">
        <f>IF(ISNUMBER(SEARCH("sheet",O8,1)),((R9*T9*H8/540000)*U7/2000*1.3),((R9*T9*H8/540000)*U7/1000*1.08))</f>
        <v>199.20000000000002</v>
      </c>
      <c r="F10" s="116"/>
      <c r="G10" s="16" t="s">
        <v>52</v>
      </c>
      <c r="H10" s="119">
        <f>IF(ISNUMBER(SEARCH("sheet",O8,1)),(U7*T9/2000*1.08),(U7*T9/1000*1.08))</f>
        <v>1296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19.920000000000002</v>
      </c>
      <c r="F11" s="118"/>
      <c r="G11" s="16" t="s">
        <v>14</v>
      </c>
      <c r="H11" s="117">
        <f>H10/B10</f>
        <v>129.6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45899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45889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9FDB877-B3BF-480F-9F44-70DEF519460B}"/>
</file>

<file path=customXml/itemProps2.xml><?xml version="1.0" encoding="utf-8"?>
<ds:datastoreItem xmlns:ds="http://schemas.openxmlformats.org/officeDocument/2006/customXml" ds:itemID="{29B8D977-EC56-4E7D-83FD-F882334EFC6C}"/>
</file>

<file path=customXml/itemProps3.xml><?xml version="1.0" encoding="utf-8"?>
<ds:datastoreItem xmlns:ds="http://schemas.openxmlformats.org/officeDocument/2006/customXml" ds:itemID="{4429A6AE-EBC6-40DD-8865-DD60FC35C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2025-07-30T00:29:29Z</cp:lastPrinted>
  <dcterms:created xsi:type="dcterms:W3CDTF">2019-11-27T23:28:06Z</dcterms:created>
  <dcterms:modified xsi:type="dcterms:W3CDTF">2025-08-05T01:09:39Z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