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6A231F-E213-4D36-BE1A-A7BED121EC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13" i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<sst xmlns="http://schemas.openxmlformats.org/spreadsheetml/2006/main" count="306" uniqueCount="201">
  <si>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</si>
  <si>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</si>
  <si>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</si>
  <si>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</si>
  <si>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</si>
  <si>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</si>
  <si>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</si>
  <si>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</si>
  <si>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</si>
  <si>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</si>
  <si>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</si>
  <si>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</si>
  <si>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</si>
  <si>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</si>
  <si>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</si>
  <si>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</si>
  <si>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</si>
  <si>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</si>
  <si>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</si>
  <si>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</si>
  <si>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</si>
  <si>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</si>
  <si>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</si>
  <si>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</si>
  <si>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</si>
  <si>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</si>
  <si>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</si>
  <si>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</si>
  <si>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</si>
  <si>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</si>
  <si>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</si>
  <si>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</si>
  <si>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</si>
  <si>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</si>
  <si>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</si>
  <si>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</si>
  <si>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</si>
  <si>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</si>
  <si>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</si>
  <si>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</si>
  <si>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</si>
  <si>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</si>
  <si>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</si>
  <si>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</si>
  <si>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</si>
  <si>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</si>
  <si>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</si>
  <si>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</si>
  <si>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</si>
  <si>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</si>
  <si>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</si>
  <si>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</si>
  <si>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</si>
  <si>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</si>
  <si>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</si>
  <si>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</si>
  <si>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</si>
  <si>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</si>
  <si>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</si>
  <si>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</si>
  <si>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</si>
  <si>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</si>
  <si>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</si>
  <si>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</si>
  <si>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</si>
  <si>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</si>
  <si>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</si>
  <si>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</si>
  <si>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</si>
  <si>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</si>
  <si>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</si>
  <si>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</si>
  <si>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</si>
  <si>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</si>
  <si>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</si>
  <si>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</si>
  <si>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</si>
  <si>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</si>
  <si>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</si>
  <si>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</si>
  <si>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</si>
  <si>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</si>
  <si>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</si>
  <si>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</si>
  <si>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</si>
  <si>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</si>
  <si>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</si>
  <si>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</si>
  <si>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</si>
  <si>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</si>
  <si>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</si>
  <si>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</si>
  <si>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</si>
  <si>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</si>
  <si>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</si>
  <si>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</si>
  <si>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</si>
  <si>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</si>
  <si>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</si>
  <si>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</si>
  <si>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</si>
  <si>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</si>
  <si>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</si>
  <si>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</si>
  <si>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</si>
  <si>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</si>
  <si>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</si>
  <si>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</si>
  <si>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</si>
  <si>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</si>
  <si>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</si>
  <si>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</si>
  <si>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</si>
  <si>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</si>
  <si>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</si>
  <si>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</si>
  <si>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</si>
  <si>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</si>
  <si>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</si>
  <si>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</si>
  <si>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</si>
  <si>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</si>
  <si>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</si>
  <si>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</si>
  <si>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</si>
  <si>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</si>
  <si>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</si>
  <si>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</si>
  <si>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</si>
  <si>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</si>
  <si>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</si>
  <si>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</si>
  <si>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</si>
  <si>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</si>
  <si>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</si>
  <si>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</si>
  <si>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</si>
  <si>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</si>
  <si>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</si>
  <si>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</si>
  <si>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</si>
  <si>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</si>
  <si>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</si>
  <si>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</si>
  <si>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</si>
  <si>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</si>
  <si>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</si>
  <si>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</si>
  <si>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</si>
  <si>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</si>
  <si>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</si>
  <si>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</si>
  <si>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</si>
  <si>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</si>
  <si>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</si>
  <si>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</si>
  <si>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</si>
  <si>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</si>
  <si>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</si>
  <si>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</si>
  <si>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</si>
  <si>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</si>
  <si>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</si>
  <si>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</si>
  <si>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</si>
  <si>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</si>
  <si>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</si>
  <si>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</si>
  <si>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</si>
  <si>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</si>
  <si>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</si>
  <si>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</si>
  <si>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</si>
  <si>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</si>
  <si>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</si>
  <si>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</si>
  <si>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</si>
  <si>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</si>
  <si>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</si>
  <si>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</si>
  <si>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</si>
  <si>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</si>
  <si>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</si>
  <si>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</si>
  <si>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</si>
  <si>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</si>
  <si>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</si>
  <si>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</si>
  <si>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</si>
  <si>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</si>
  <si>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</si>
  <si>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</si>
  <si>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</si>
  <si>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</si>
  <si>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</si>
  <si>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QPB04</t>
  </si>
  <si>
    <t>BLACKWOODS</t>
  </si>
  <si>
    <t>NOT OVER</t>
  </si>
  <si>
    <t>ORION 1</t>
  </si>
  <si>
    <t>#4</t>
  </si>
  <si>
    <r>
      <t>RUN AT 135UM - 140UM - NOT OVER     -</t>
    </r>
    <r>
      <rPr>
        <b/>
        <sz val="16"/>
        <color rgb="FFFF0000"/>
        <rFont val="Calibri"/>
        <family val="2"/>
        <scheme val="minor"/>
      </rPr>
      <t xml:space="preserve"> label to read 150um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</si>
</sst>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PB450910140</v>
      </c>
      <c r="C1" s="110"/>
      <c r="D1" s="111"/>
      <c r="E1" s="9" t="s">
        <v>57</v>
      </c>
      <c r="F1" s="86" t="s">
        <v>196</v>
      </c>
      <c r="G1" s="86"/>
      <c r="H1" s="87"/>
      <c r="I1" s="10" t="s">
        <v>181</v>
      </c>
      <c r="J1" s="83">
        <f ca="1">TODAY()</f>
        <v>46085</v>
      </c>
      <c r="K1" s="83"/>
      <c r="L1" s="84"/>
      <c r="M1" s="27"/>
      <c r="N1" s="9" t="s">
        <v>56</v>
      </c>
      <c r="O1" s="110" t="str">
        <f>B1</f>
        <v>PB450910140</v>
      </c>
      <c r="P1" s="110"/>
      <c r="Q1" s="111"/>
      <c r="R1" s="9" t="s">
        <v>57</v>
      </c>
      <c r="S1" s="110" t="str">
        <f>F1</f>
        <v>BLACKWOODS</v>
      </c>
      <c r="T1" s="110"/>
      <c r="U1" s="111"/>
      <c r="V1" s="9" t="s">
        <v>181</v>
      </c>
      <c r="W1" s="83">
        <f ca="1">J1</f>
        <v>46085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>QPB04</v>
      </c>
      <c r="C2" s="110"/>
      <c r="D2" s="111"/>
      <c r="E2" s="9" t="s">
        <v>58</v>
      </c>
      <c r="F2" s="86"/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QPB04</v>
      </c>
      <c r="P2" s="110"/>
      <c r="Q2" s="111"/>
      <c r="R2" s="9" t="s">
        <v>58</v>
      </c>
      <c r="S2" s="110" t="str">
        <f>IF(F2="","",F2)</f>
        <v/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 t="s">
        <v>200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 t="str">
        <f>A3</f>
        <v xml:space="preserve">RUN AT 135UM - 140UM - NOT OVER     - label to read 150um                                                                                 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40</v>
      </c>
      <c r="P7" s="87"/>
      <c r="Q7" s="9" t="str">
        <f>IF(ISNUMBER(SEARCH("roll",O8,1)),"Per Roll","Per Carton")</f>
        <v>Per Carton</v>
      </c>
      <c r="R7" s="86">
        <v>200</v>
      </c>
      <c r="S7" s="87"/>
      <c r="T7" s="9" t="str">
        <f>IF(ISNUMBER(SEARCH("bag",O8,1)),"Total Bags","Total Sheets")</f>
        <v>Total Bags</v>
      </c>
      <c r="U7" s="110">
        <f>R7*O7</f>
        <v>8000</v>
      </c>
      <c r="V7" s="111"/>
      <c r="W7" s="9" t="s">
        <v>102</v>
      </c>
      <c r="X7" s="86" t="s">
        <v>31</v>
      </c>
      <c r="Y7" s="87"/>
    </row>
    <row r="8" spans="1:25" ht="20.100000000000001" customHeight="1" x14ac:dyDescent="0.25">
      <c r="A8" s="11" t="s">
        <v>16</v>
      </c>
      <c r="B8" s="88">
        <f>R9</f>
        <v>450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140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197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450</v>
      </c>
      <c r="S9" s="16" t="s">
        <v>78</v>
      </c>
      <c r="T9" s="28">
        <v>910</v>
      </c>
      <c r="U9" s="16" t="s">
        <v>78</v>
      </c>
      <c r="V9" s="28">
        <v>140</v>
      </c>
      <c r="W9" s="15"/>
      <c r="X9" s="135"/>
      <c r="Y9" s="136"/>
    </row>
    <row r="10" spans="1:25" ht="20.100000000000001" customHeight="1" x14ac:dyDescent="0.25">
      <c r="A10" s="9" t="s">
        <v>51</v>
      </c>
      <c r="B10" s="86">
        <v>45</v>
      </c>
      <c r="C10" s="87"/>
      <c r="D10" s="45" t="s">
        <v>134</v>
      </c>
      <c r="E10" s="100">
        <f>IF(ISNUMBER(SEARCH("sheet",O8,1)),((R9*T9*H8/540000)*U7/2000*1.3),((R9*T9*H8/540000)*U7/1000*1.08))</f>
        <v>917.28000000000009</v>
      </c>
      <c r="F10" s="101"/>
      <c r="G10" s="9" t="s">
        <v>53</v>
      </c>
      <c r="H10" s="104">
        <f>IF(ISNUMBER(SEARCH("sheet",O8,1)),(U7*T9/2000*1.08),(U7*T9/1000*1.08))</f>
        <v>7862.4000000000005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 t="s">
        <v>195</v>
      </c>
      <c r="V10" s="129"/>
      <c r="W10" s="129"/>
      <c r="X10" s="129"/>
      <c r="Y10" s="130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20.384</v>
      </c>
      <c r="F11" s="103"/>
      <c r="G11" s="9" t="s">
        <v>15</v>
      </c>
      <c r="H11" s="102">
        <f>H10/B10</f>
        <v>174.72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36</v>
      </c>
      <c r="P13" s="9" t="s">
        <v>73</v>
      </c>
      <c r="Q13" s="18">
        <f>O7</f>
        <v>40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 t="s">
        <v>169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140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2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143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5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143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5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146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8"/>
    </row>
    <row r="23" spans="1:25" ht="20.100000000000001" customHeight="1" x14ac:dyDescent="0.25">
      <c r="A23" s="78"/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198</v>
      </c>
      <c r="P25" s="32"/>
      <c r="Q25" s="8">
        <v>18</v>
      </c>
      <c r="R25" s="8"/>
      <c r="S25" s="8"/>
      <c r="T25" s="8"/>
      <c r="U25" s="8"/>
      <c r="V25" s="8"/>
      <c r="W25" s="8">
        <v>205</v>
      </c>
      <c r="X25" s="8">
        <v>205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>
        <v>45</v>
      </c>
      <c r="C27" s="7"/>
      <c r="D27" s="8">
        <v>24.4</v>
      </c>
      <c r="E27" s="57">
        <v>3.2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199</v>
      </c>
      <c r="C28" s="7"/>
      <c r="D28" s="8">
        <v>54</v>
      </c>
      <c r="E28" s="57">
        <v>1.9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46116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46106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73E554D-F79F-4EE1-B5D8-650468C520C4}"/>
</file>

<file path=customXml/itemProps2.xml><?xml version="1.0" encoding="utf-8"?>
<ds:datastoreItem xmlns:ds="http://schemas.openxmlformats.org/officeDocument/2006/customXml" ds:itemID="{9C7F32CB-EF0D-4CB8-9D35-38F160CFC5A0}"/>
</file>

<file path=customXml/itemProps3.xml><?xml version="1.0" encoding="utf-8"?>
<ds:datastoreItem xmlns:ds="http://schemas.openxmlformats.org/officeDocument/2006/customXml" ds:itemID="{2923AACC-6AEE-4A1F-ACE5-E4103BA66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2025-09-15T01:50:23Z</cp:lastPrinted>
  <dcterms:created xsi:type="dcterms:W3CDTF">2019-11-27T23:28:06Z</dcterms:created>
  <dcterms:modified xsi:type="dcterms:W3CDTF">2026-03-04T08:34:04Z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