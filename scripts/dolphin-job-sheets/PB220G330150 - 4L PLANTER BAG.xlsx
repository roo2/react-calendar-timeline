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DECAB6B-F2F3-4C8F-9812-C95CDECE69A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<sst xmlns="http://schemas.openxmlformats.org/spreadsheetml/2006/main" count="306" uniqueCount="202">
  <si>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</si>
  <si>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</si>
  <si>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</si>
  <si>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</si>
  <si>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</si>
  <si>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</si>
  <si>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</si>
  <si>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</si>
  <si>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</si>
  <si>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</si>
  <si>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</si>
  <si>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</si>
  <si>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</si>
  <si>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</si>
  <si>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</si>
  <si>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</si>
  <si>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</si>
  <si>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</si>
  <si>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</si>
  <si>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</si>
  <si>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</si>
  <si>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</si>
  <si>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</si>
  <si>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</si>
  <si>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</si>
  <si>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</si>
  <si>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</si>
  <si>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</si>
  <si>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</si>
  <si>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</si>
  <si>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</si>
  <si>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</si>
  <si>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</si>
  <si>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</si>
  <si>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</si>
  <si>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</si>
  <si>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</si>
  <si>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</si>
  <si>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</si>
  <si>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</si>
  <si>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</si>
  <si>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</si>
  <si>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</si>
  <si>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</si>
  <si>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</si>
  <si>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</si>
  <si>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</si>
  <si>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</si>
  <si>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</si>
  <si>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</si>
  <si>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</si>
  <si>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</si>
  <si>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</si>
  <si>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</si>
  <si>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</si>
  <si>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</si>
  <si>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</si>
  <si>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</si>
  <si>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</si>
  <si>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</si>
  <si>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</si>
  <si>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</si>
  <si>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</si>
  <si>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</si>
  <si>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</si>
  <si>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</si>
  <si>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</si>
  <si>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</si>
  <si>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</si>
  <si>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</si>
  <si>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</si>
  <si>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</si>
  <si>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</si>
  <si>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</si>
  <si>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</si>
  <si>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</si>
  <si>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</si>
  <si>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</si>
  <si>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</si>
  <si>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</si>
  <si>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</si>
  <si>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</si>
  <si>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</si>
  <si>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</si>
  <si>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</si>
  <si>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</si>
  <si>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</si>
  <si>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</si>
  <si>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</si>
  <si>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</si>
  <si>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</si>
  <si>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</si>
  <si>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</si>
  <si>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</si>
  <si>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</si>
  <si>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</si>
  <si>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</si>
  <si>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</si>
  <si>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</si>
  <si>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</si>
  <si>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</si>
  <si>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</si>
  <si>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</si>
  <si>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</si>
  <si>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</si>
  <si>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</si>
  <si>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</si>
  <si>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</si>
  <si>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</si>
  <si>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</si>
  <si>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</si>
  <si>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</si>
  <si>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</si>
  <si>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</si>
  <si>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</si>
  <si>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</si>
  <si>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</si>
  <si>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</si>
  <si>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</si>
  <si>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</si>
  <si>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</si>
  <si>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</si>
  <si>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</si>
  <si>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</si>
  <si>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</si>
  <si>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</si>
  <si>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</si>
  <si>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</si>
  <si>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</si>
  <si>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</si>
  <si>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</si>
  <si>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</si>
  <si>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</si>
  <si>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</si>
  <si>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</si>
  <si>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</si>
  <si>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</si>
  <si>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</si>
  <si>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</si>
  <si>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</si>
  <si>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</si>
  <si>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</si>
  <si>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</si>
  <si>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</si>
  <si>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</si>
  <si>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</si>
  <si>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</si>
  <si>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</si>
  <si>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</si>
  <si>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</si>
  <si>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</si>
  <si>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</si>
  <si>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</si>
  <si>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</si>
  <si>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</si>
  <si>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</si>
  <si>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</si>
  <si>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</si>
  <si>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</si>
  <si>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</si>
  <si>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</si>
  <si>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</si>
  <si>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</si>
  <si>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</si>
  <si>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</si>
  <si>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</si>
  <si>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</si>
  <si>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</si>
  <si>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</si>
  <si>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</si>
  <si>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</si>
  <si>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</si>
  <si>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</si>
  <si>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</si>
  <si>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</si>
  <si>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</si>
  <si>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</si>
  <si>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</si>
  <si>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</si>
  <si>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</si>
  <si>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</si>
  <si>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</si>
  <si>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</si>
  <si>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</si>
  <si>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</si>
  <si>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</si>
  <si>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</si>
  <si>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</si>
  <si>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</si>
  <si>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</si>
  <si>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</si>
  <si>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</si>
  <si>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</si>
  <si>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 xml:space="preserve"> +/- 5mm</t>
  </si>
  <si>
    <t>ASAP</t>
  </si>
  <si>
    <t>Centrefold Roll</t>
  </si>
  <si>
    <t>(115+105)</t>
  </si>
  <si>
    <t>4L PLANTER BAG</t>
  </si>
  <si>
    <t>RUN AT 140UM</t>
  </si>
  <si>
    <t>DALEYS FRUIT TREES</t>
  </si>
  <si>
    <t>MUST HAVE CORRECT WIDTH &amp; GUSSET. NOT OVER 140UM</t>
  </si>
  <si>
    <t>150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</si>
</sst>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9" t="str">
        <f>O9&amp;R9&amp;IF(X8="G","G","")&amp;IF(O8="Centrefold Roll","("&amp;E8&amp;")","")&amp;T9&amp;V9&amp;C22&amp;C23&amp;C24&amp;O11&amp;R11</f>
        <v>PB220G330150BKUVV</v>
      </c>
      <c r="C1" s="109"/>
      <c r="D1" s="110"/>
      <c r="E1" s="10" t="s">
        <v>57</v>
      </c>
      <c r="F1" s="63" t="s">
        <v>199</v>
      </c>
      <c r="G1" s="63"/>
      <c r="H1" s="64"/>
      <c r="I1" s="11" t="s">
        <v>181</v>
      </c>
      <c r="J1" s="120">
        <f ca="1">TODAY()</f>
        <v>45635</v>
      </c>
      <c r="K1" s="120"/>
      <c r="L1" s="121"/>
      <c r="M1" s="29"/>
      <c r="N1" s="10" t="s">
        <v>56</v>
      </c>
      <c r="O1" s="109" t="str">
        <f>B1</f>
        <v>PB220G330150BKUVV</v>
      </c>
      <c r="P1" s="109"/>
      <c r="Q1" s="110"/>
      <c r="R1" s="10" t="s">
        <v>57</v>
      </c>
      <c r="S1" s="109" t="str">
        <f>F1</f>
        <v>DALEYS FRUIT TREES</v>
      </c>
      <c r="T1" s="109"/>
      <c r="U1" s="110"/>
      <c r="V1" s="10" t="s">
        <v>181</v>
      </c>
      <c r="W1" s="120">
        <f ca="1">J1</f>
        <v>45635</v>
      </c>
      <c r="X1" s="120"/>
      <c r="Y1" s="121"/>
    </row>
    <row r="2" spans="1:25" ht="20.149999999999999" customHeight="1" x14ac:dyDescent="0.8">
      <c r="A2" s="10" t="s">
        <v>100</v>
      </c>
      <c r="B2" s="109" t="str">
        <f>IF(U10="","",U10)</f>
        <v>4L PLANTER BAG</v>
      </c>
      <c r="C2" s="109"/>
      <c r="D2" s="110"/>
      <c r="E2" s="10" t="s">
        <v>58</v>
      </c>
      <c r="F2" s="63">
        <v>949093</v>
      </c>
      <c r="G2" s="63"/>
      <c r="H2" s="64"/>
      <c r="I2" s="10" t="s">
        <v>59</v>
      </c>
      <c r="J2" s="123">
        <v>45656</v>
      </c>
      <c r="K2" s="63"/>
      <c r="L2" s="64"/>
      <c r="M2" s="29"/>
      <c r="N2" s="10" t="s">
        <v>100</v>
      </c>
      <c r="O2" s="109" t="str">
        <f>IF(B2="","",B2)</f>
        <v>4L PLANTER BAG</v>
      </c>
      <c r="P2" s="109"/>
      <c r="Q2" s="110"/>
      <c r="R2" s="10" t="s">
        <v>58</v>
      </c>
      <c r="S2" s="109">
        <f>IF(F2="","",F2)</f>
        <v>949093</v>
      </c>
      <c r="T2" s="109"/>
      <c r="U2" s="110"/>
      <c r="V2" s="10" t="s">
        <v>59</v>
      </c>
      <c r="W2" s="122">
        <f>J2</f>
        <v>45656</v>
      </c>
      <c r="X2" s="109"/>
      <c r="Y2" s="110"/>
    </row>
    <row r="3" spans="1:25" ht="20.149999999999999" customHeight="1" x14ac:dyDescent="0.75">
      <c r="A3" s="111" t="s">
        <v>200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 t="str">
        <f>A3</f>
        <v>MUST HAVE CORRECT WIDTH &amp; GUSSET. NOT OVER 140UM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1"/>
      <c r="K6" s="71"/>
      <c r="L6" s="72"/>
      <c r="M6" s="29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0" t="s">
        <v>49</v>
      </c>
      <c r="B7" s="101" t="s">
        <v>177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29"/>
      <c r="N7" s="10" t="str">
        <f>IF(ISNUMBER(SEARCH("roll",O8,1)),"No. Rolls","No. Cartons")</f>
        <v>No. Cartons</v>
      </c>
      <c r="O7" s="63">
        <v>32</v>
      </c>
      <c r="P7" s="64"/>
      <c r="Q7" s="10" t="str">
        <f>IF(ISNUMBER(SEARCH("roll",O8,1)),"Per Roll","Per Carton")</f>
        <v>Per Carton</v>
      </c>
      <c r="R7" s="63">
        <v>500</v>
      </c>
      <c r="S7" s="64"/>
      <c r="T7" s="10" t="str">
        <f>IF(ISNUMBER(SEARCH("bag",O8,1)),"Total Bags","Total Sheets")</f>
        <v>Total Bags</v>
      </c>
      <c r="U7" s="109">
        <f>R7*O7</f>
        <v>16000</v>
      </c>
      <c r="V7" s="110"/>
      <c r="W7" s="10" t="s">
        <v>102</v>
      </c>
      <c r="X7" s="63" t="s">
        <v>23</v>
      </c>
      <c r="Y7" s="64"/>
    </row>
    <row r="8" spans="1:25" ht="20.149999999999999" customHeight="1" x14ac:dyDescent="0.8">
      <c r="A8" s="12" t="s">
        <v>16</v>
      </c>
      <c r="B8" s="97">
        <f>R9</f>
        <v>220</v>
      </c>
      <c r="C8" s="98"/>
      <c r="D8" s="12" t="str">
        <f>IF(ISNUMBER(SEARCH("bag",O8,1)),"Gusset","Centrefold")</f>
        <v>Gusset</v>
      </c>
      <c r="E8" s="97" t="str">
        <f>IF(O8="Centrefold Roll",B8*2,IF(X9="","None",X9))</f>
        <v>(115+105)</v>
      </c>
      <c r="F8" s="98"/>
      <c r="G8" s="12" t="s">
        <v>52</v>
      </c>
      <c r="H8" s="97">
        <f>(IF(V9&lt;30,"30",V9))</f>
        <v>150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Gusset Tube</v>
      </c>
      <c r="L8" s="110"/>
      <c r="M8" s="29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G</v>
      </c>
      <c r="Y8" s="96"/>
    </row>
    <row r="9" spans="1:25" ht="20.149999999999999" customHeight="1" x14ac:dyDescent="0.9">
      <c r="A9" s="16" t="s">
        <v>48</v>
      </c>
      <c r="B9" s="126" t="s">
        <v>193</v>
      </c>
      <c r="C9" s="127"/>
      <c r="D9" s="134" t="str">
        <f>IF(K10="Middle","RUN 2 UP",IF(AND(O8="Centrefold Roll",B8=380),"RUN 2 UP",""))</f>
        <v/>
      </c>
      <c r="E9" s="101"/>
      <c r="F9" s="102"/>
      <c r="G9" s="16" t="s">
        <v>48</v>
      </c>
      <c r="H9" s="126" t="s">
        <v>198</v>
      </c>
      <c r="I9" s="127"/>
      <c r="J9" s="10" t="s">
        <v>55</v>
      </c>
      <c r="K9" s="63" t="s">
        <v>30</v>
      </c>
      <c r="L9" s="64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220</v>
      </c>
      <c r="S9" s="18" t="s">
        <v>78</v>
      </c>
      <c r="T9" s="30">
        <v>330</v>
      </c>
      <c r="U9" s="18" t="s">
        <v>78</v>
      </c>
      <c r="V9" s="30">
        <v>150</v>
      </c>
      <c r="W9" s="17"/>
      <c r="X9" s="89" t="s">
        <v>196</v>
      </c>
      <c r="Y9" s="90"/>
    </row>
    <row r="10" spans="1:25" ht="20.149999999999999" customHeight="1" x14ac:dyDescent="0.8">
      <c r="A10" s="10" t="s">
        <v>51</v>
      </c>
      <c r="B10" s="63">
        <v>22</v>
      </c>
      <c r="C10" s="64"/>
      <c r="D10" s="47" t="s">
        <v>134</v>
      </c>
      <c r="E10" s="128">
        <f>IF(ISNUMBER(SEARCH("sheet",O8,1)),((R9*T9*H8/540000)*U7/2000*1.3),((R9*T9*H8/540000)*U7/1000*1.08))</f>
        <v>348.48</v>
      </c>
      <c r="F10" s="129"/>
      <c r="G10" s="10" t="s">
        <v>53</v>
      </c>
      <c r="H10" s="132">
        <f>IF(ISNUMBER(SEARCH("sheet",O8,1)),(U7*T9/2000*1.08),(U7*T9/1000*1.08))</f>
        <v>5702.4000000000005</v>
      </c>
      <c r="I10" s="133"/>
      <c r="J10" s="10" t="s">
        <v>41</v>
      </c>
      <c r="K10" s="63" t="s">
        <v>44</v>
      </c>
      <c r="L10" s="64"/>
      <c r="M10" s="29"/>
      <c r="N10" s="13" t="s">
        <v>141</v>
      </c>
      <c r="O10" s="99" t="s">
        <v>140</v>
      </c>
      <c r="P10" s="100"/>
      <c r="Q10" s="13" t="s">
        <v>50</v>
      </c>
      <c r="R10" s="95" t="str">
        <f>IF(K11="NONE","None",IF(K11="INLINE","Yes",IF(K11="OUT OF LINE","Yes")))</f>
        <v>None</v>
      </c>
      <c r="S10" s="95"/>
      <c r="T10" s="13" t="s">
        <v>100</v>
      </c>
      <c r="U10" s="105" t="s">
        <v>197</v>
      </c>
      <c r="V10" s="105"/>
      <c r="W10" s="105"/>
      <c r="X10" s="105"/>
      <c r="Y10" s="106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0">
        <f>E10/B10</f>
        <v>15.840000000000002</v>
      </c>
      <c r="F11" s="131"/>
      <c r="G11" s="10" t="s">
        <v>15</v>
      </c>
      <c r="H11" s="130">
        <f>H10/B10</f>
        <v>259.20000000000005</v>
      </c>
      <c r="I11" s="131"/>
      <c r="J11" s="10" t="s">
        <v>50</v>
      </c>
      <c r="K11" s="63" t="s">
        <v>44</v>
      </c>
      <c r="L11" s="64"/>
      <c r="M11" s="29"/>
      <c r="N11" s="12"/>
      <c r="O11" s="97" t="str">
        <f>IF(O10="NONE","","V")</f>
        <v>V</v>
      </c>
      <c r="P11" s="98"/>
      <c r="Q11" s="12"/>
      <c r="R11" s="97" t="str">
        <f>IF(R10="None","","P")</f>
        <v/>
      </c>
      <c r="S11" s="98"/>
      <c r="T11" s="12"/>
      <c r="U11" s="107"/>
      <c r="V11" s="107"/>
      <c r="W11" s="107"/>
      <c r="X11" s="107"/>
      <c r="Y11" s="108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9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0" t="s">
        <v>68</v>
      </c>
      <c r="B13" s="63" t="s">
        <v>44</v>
      </c>
      <c r="C13" s="63"/>
      <c r="D13" s="64"/>
      <c r="E13" s="19" t="s">
        <v>61</v>
      </c>
      <c r="F13" s="63" t="s">
        <v>44</v>
      </c>
      <c r="G13" s="63"/>
      <c r="H13" s="64"/>
      <c r="I13" s="10" t="s">
        <v>62</v>
      </c>
      <c r="J13" s="63" t="s">
        <v>44</v>
      </c>
      <c r="K13" s="63"/>
      <c r="L13" s="64"/>
      <c r="M13" s="29"/>
      <c r="N13" s="10" t="s">
        <v>72</v>
      </c>
      <c r="O13" s="31" t="s">
        <v>57</v>
      </c>
      <c r="P13" s="10" t="s">
        <v>73</v>
      </c>
      <c r="Q13" s="20">
        <f>O7</f>
        <v>32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10" t="s">
        <v>75</v>
      </c>
      <c r="W13" s="31" t="str">
        <f>IF(AND((O17="LOOSE"),(NOT(O18="BUNDLE"))),"",IF(AND((O17="LINED"),(NOT(O18="BUNDLE"))),"",(IF(R7&lt;=500,"50",IF(R7&gt;500,"100")))))</f>
        <v>50</v>
      </c>
      <c r="X13" s="10" t="s">
        <v>76</v>
      </c>
      <c r="Y13" s="32"/>
    </row>
    <row r="14" spans="1:25" ht="20.149999999999999" customHeight="1" x14ac:dyDescent="0.9">
      <c r="A14" s="12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9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47" t="s">
        <v>4</v>
      </c>
      <c r="F16" s="147"/>
      <c r="G16" s="147" t="s">
        <v>5</v>
      </c>
      <c r="H16" s="147"/>
      <c r="I16" s="68" t="s">
        <v>11</v>
      </c>
      <c r="J16" s="69"/>
      <c r="K16" s="68" t="s">
        <v>12</v>
      </c>
      <c r="L16" s="69"/>
      <c r="M16" s="29"/>
      <c r="N16" s="10" t="s">
        <v>28</v>
      </c>
      <c r="O16" s="63" t="s">
        <v>201</v>
      </c>
      <c r="P16" s="64"/>
      <c r="Q16" s="10" t="s">
        <v>105</v>
      </c>
      <c r="R16" s="63" t="s">
        <v>23</v>
      </c>
      <c r="S16" s="64"/>
      <c r="T16" s="11" t="s">
        <v>103</v>
      </c>
      <c r="U16" s="63" t="s">
        <v>31</v>
      </c>
      <c r="V16" s="64"/>
      <c r="W16" s="10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3" t="s">
        <v>147</v>
      </c>
      <c r="D17" s="94"/>
      <c r="E17" s="60"/>
      <c r="F17" s="61"/>
      <c r="G17" s="48" t="s">
        <v>81</v>
      </c>
      <c r="H17" s="32"/>
      <c r="I17" s="60"/>
      <c r="J17" s="61"/>
      <c r="K17" s="60"/>
      <c r="L17" s="61"/>
      <c r="M17" s="29"/>
      <c r="N17" s="10" t="s">
        <v>26</v>
      </c>
      <c r="O17" s="63" t="s">
        <v>37</v>
      </c>
      <c r="P17" s="64"/>
      <c r="Q17" s="10" t="s">
        <v>104</v>
      </c>
      <c r="R17" s="63" t="s">
        <v>31</v>
      </c>
      <c r="S17" s="64"/>
      <c r="T17" s="11" t="str">
        <f>IF(ISNUMBER(SEARCH("roll",O8,1)),"Part Rolls","Part Ctns")</f>
        <v>Part Ctns</v>
      </c>
      <c r="U17" s="63" t="s">
        <v>31</v>
      </c>
      <c r="V17" s="64"/>
      <c r="W17" s="10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3" t="s">
        <v>146</v>
      </c>
      <c r="D18" s="94"/>
      <c r="E18" s="60"/>
      <c r="F18" s="61"/>
      <c r="G18" s="48" t="s">
        <v>82</v>
      </c>
      <c r="H18" s="32"/>
      <c r="I18" s="60"/>
      <c r="J18" s="61"/>
      <c r="K18" s="60"/>
      <c r="L18" s="61"/>
      <c r="M18" s="29"/>
      <c r="N18" s="10" t="s">
        <v>101</v>
      </c>
      <c r="O18" s="63" t="s">
        <v>185</v>
      </c>
      <c r="P18" s="64"/>
      <c r="Q18" s="10" t="s">
        <v>106</v>
      </c>
      <c r="R18" s="63" t="s">
        <v>31</v>
      </c>
      <c r="S18" s="64"/>
      <c r="T18" s="21" t="s">
        <v>27</v>
      </c>
      <c r="U18" s="63" t="s">
        <v>36</v>
      </c>
      <c r="V18" s="64"/>
      <c r="W18" s="10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3" t="s">
        <v>145</v>
      </c>
      <c r="D19" s="94"/>
      <c r="E19" s="60"/>
      <c r="F19" s="61"/>
      <c r="G19" s="48" t="s">
        <v>83</v>
      </c>
      <c r="H19" s="32"/>
      <c r="I19" s="60"/>
      <c r="J19" s="61"/>
      <c r="K19" s="60"/>
      <c r="L19" s="61"/>
      <c r="M19" s="29"/>
      <c r="N19" s="76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3" t="s">
        <v>144</v>
      </c>
      <c r="D20" s="94"/>
      <c r="E20" s="60"/>
      <c r="F20" s="61"/>
      <c r="G20" s="48" t="s">
        <v>84</v>
      </c>
      <c r="H20" s="32"/>
      <c r="I20" s="60"/>
      <c r="J20" s="61"/>
      <c r="K20" s="60"/>
      <c r="L20" s="61"/>
      <c r="M20" s="2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3" t="s">
        <v>143</v>
      </c>
      <c r="D21" s="94"/>
      <c r="E21" s="60"/>
      <c r="F21" s="61"/>
      <c r="G21" s="48" t="s">
        <v>85</v>
      </c>
      <c r="H21" s="32"/>
      <c r="I21" s="60"/>
      <c r="J21" s="61"/>
      <c r="K21" s="60"/>
      <c r="L21" s="61"/>
      <c r="M21" s="2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tr">
        <f>(IF(B7="NATURAL","",B7))</f>
        <v>BLACK</v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4"/>
      <c r="E22" s="60"/>
      <c r="F22" s="61"/>
      <c r="G22" s="48" t="s">
        <v>86</v>
      </c>
      <c r="H22" s="32"/>
      <c r="I22" s="60"/>
      <c r="J22" s="61"/>
      <c r="K22" s="60"/>
      <c r="L22" s="61"/>
      <c r="M22" s="29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0.75">
      <c r="A23" s="148" t="s">
        <v>192</v>
      </c>
      <c r="B23" s="148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4"/>
      <c r="E23" s="60"/>
      <c r="F23" s="61"/>
      <c r="G23" s="48" t="s">
        <v>87</v>
      </c>
      <c r="H23" s="32"/>
      <c r="I23" s="60"/>
      <c r="J23" s="61"/>
      <c r="K23" s="60"/>
      <c r="L23" s="61"/>
      <c r="M23" s="29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49"/>
      <c r="B24" s="150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8" t="s">
        <v>88</v>
      </c>
      <c r="H24" s="32"/>
      <c r="I24" s="60"/>
      <c r="J24" s="61"/>
      <c r="K24" s="60"/>
      <c r="L24" s="6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9"/>
      <c r="N25" s="22" t="s">
        <v>96</v>
      </c>
      <c r="O25" s="9"/>
      <c r="P25" s="34"/>
      <c r="Q25" s="9"/>
      <c r="R25" s="9"/>
      <c r="S25" s="9"/>
      <c r="T25" s="9"/>
      <c r="U25" s="9"/>
      <c r="V25" s="9"/>
      <c r="W25" s="9"/>
      <c r="X25" s="9"/>
      <c r="Y25" s="9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2" t="s">
        <v>96</v>
      </c>
      <c r="B27" s="7"/>
      <c r="C27" s="7"/>
      <c r="D27" s="7">
        <v>92</v>
      </c>
      <c r="E27" s="59">
        <v>2.1</v>
      </c>
      <c r="F27" s="7"/>
      <c r="G27" s="91"/>
      <c r="H27" s="91"/>
      <c r="I27" s="91"/>
      <c r="J27" s="91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B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9000000}">
          <x14:formula1>
            <xm:f>Sheet2!$N$31:$N$39</xm:f>
          </x14:formula1>
          <xm:sqref>O16:P16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zoomScale="90" zoomScaleNormal="90" workbookViewId="0">
      <selection activeCell="S36" sqref="S3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45666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45656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195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201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169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170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" t="s">
        <v>38</v>
      </c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7" t="s">
        <v>26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35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37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 t="s">
        <v>171</v>
      </c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"/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7" t="s">
        <v>101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38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32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172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183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" t="s">
        <v>185</v>
      </c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6" t="s">
        <v>173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31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21" t="s">
        <v>23</v>
      </c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7" t="s">
        <v>27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36</v>
      </c>
    </row>
    <row r="59" spans="1:20" x14ac:dyDescent="0.75">
      <c r="A59" s="55" t="s">
        <v>148</v>
      </c>
      <c r="N59" s="21" t="s">
        <v>33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3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559E83D-9AB7-4DB6-9C6E-D797EFD35684}"/>
</file>

<file path=customXml/itemProps2.xml><?xml version="1.0" encoding="utf-8"?>
<ds:datastoreItem xmlns:ds="http://schemas.openxmlformats.org/officeDocument/2006/customXml" ds:itemID="{C2C06AC5-D0CB-4B93-9B64-50381B61A79E}"/>
</file>

<file path=customXml/itemProps3.xml><?xml version="1.0" encoding="utf-8"?>
<ds:datastoreItem xmlns:ds="http://schemas.openxmlformats.org/officeDocument/2006/customXml" ds:itemID="{A59D4F9C-5503-426D-A79F-D6877D1B3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2024-12-09T01:34:15Z</cp:lastPrinted>
  <dcterms:created xsi:type="dcterms:W3CDTF">2019-11-27T23:28:06Z</dcterms:created>
  <dcterms:modified xsi:type="dcterms:W3CDTF">2024-12-09T01:34:32Z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