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DE432A4-2447-46F6-BB39-84527C4A81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<sst xmlns="http://schemas.openxmlformats.org/spreadsheetml/2006/main" count="306" uniqueCount="202">
  <si>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</si>
  <si>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</si>
  <si>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</si>
  <si>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</si>
  <si>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</si>
  <si>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</si>
  <si>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</si>
  <si>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</si>
  <si>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</si>
  <si>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</si>
  <si>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</si>
  <si>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</si>
  <si>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</si>
  <si>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</si>
  <si>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</si>
  <si>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</si>
  <si>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</si>
  <si>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</si>
  <si>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</si>
  <si>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</si>
  <si>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</si>
  <si>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</si>
  <si>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</si>
  <si>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</si>
  <si>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</si>
  <si>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</si>
  <si>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</si>
  <si>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</si>
  <si>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</si>
  <si>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</si>
  <si>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</si>
  <si>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</si>
  <si>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</si>
  <si>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</si>
  <si>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</si>
  <si>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</si>
  <si>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</si>
  <si>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</si>
  <si>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</si>
  <si>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</si>
  <si>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</si>
  <si>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</si>
  <si>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</si>
  <si>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</si>
  <si>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</si>
  <si>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</si>
  <si>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</si>
  <si>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</si>
  <si>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</si>
  <si>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</si>
  <si>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</si>
  <si>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</si>
  <si>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</si>
  <si>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</si>
  <si>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</si>
  <si>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</si>
  <si>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</si>
  <si>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</si>
  <si>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</si>
  <si>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</si>
  <si>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</si>
  <si>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</si>
  <si>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</si>
  <si>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</si>
  <si>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</si>
  <si>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</si>
  <si>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</si>
  <si>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</si>
  <si>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</si>
  <si>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</si>
  <si>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</si>
  <si>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</si>
  <si>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</si>
  <si>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</si>
  <si>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</si>
  <si>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</si>
  <si>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</si>
  <si>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</si>
  <si>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</si>
  <si>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</si>
  <si>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</si>
  <si>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</si>
  <si>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</si>
  <si>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</si>
  <si>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</si>
  <si>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</si>
  <si>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</si>
  <si>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</si>
  <si>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</si>
  <si>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</si>
  <si>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</si>
  <si>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</si>
  <si>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</si>
  <si>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</si>
  <si>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</si>
  <si>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</si>
  <si>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</si>
  <si>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</si>
  <si>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</si>
  <si>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</si>
  <si>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</si>
  <si>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</si>
  <si>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</si>
  <si>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</si>
  <si>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</si>
  <si>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</si>
  <si>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</si>
  <si>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</si>
  <si>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</si>
  <si>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</si>
  <si>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</si>
  <si>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</si>
  <si>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</si>
  <si>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</si>
  <si>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</si>
  <si>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</si>
  <si>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</si>
  <si>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</si>
  <si>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</si>
  <si>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</si>
  <si>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</si>
  <si>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</si>
  <si>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</si>
  <si>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</si>
  <si>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</si>
  <si>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</si>
  <si>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</si>
  <si>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</si>
  <si>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</si>
  <si>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</si>
  <si>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</si>
  <si>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</si>
  <si>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</si>
  <si>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</si>
  <si>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</si>
  <si>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</si>
  <si>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</si>
  <si>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</si>
  <si>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</si>
  <si>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</si>
  <si>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</si>
  <si>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</si>
  <si>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</si>
  <si>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</si>
  <si>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</si>
  <si>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</si>
  <si>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</si>
  <si>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</si>
  <si>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</si>
  <si>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</si>
  <si>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</si>
  <si>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</si>
  <si>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</si>
  <si>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</si>
  <si>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</si>
  <si>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</si>
  <si>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</si>
  <si>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</si>
  <si>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</si>
  <si>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</si>
  <si>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</si>
  <si>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</si>
  <si>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</si>
  <si>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</si>
  <si>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</si>
  <si>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</si>
  <si>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</si>
  <si>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</si>
  <si>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</si>
  <si>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</si>
  <si>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</si>
  <si>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</si>
  <si>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</si>
  <si>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</si>
  <si>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</si>
  <si>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</si>
  <si>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</si>
  <si>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</si>
  <si>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</si>
  <si>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</si>
  <si>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</si>
  <si>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</si>
  <si>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</si>
  <si>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</si>
  <si>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</si>
  <si>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</si>
  <si>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</si>
  <si>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</si>
  <si>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</si>
  <si>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</si>
  <si>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</si>
  <si>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</si>
  <si>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</si>
  <si>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</si>
  <si>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</si>
  <si>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DENCO</t>
  </si>
  <si>
    <t>ANTISTATIC</t>
  </si>
  <si>
    <t>RUN AT 32-35um</t>
  </si>
  <si>
    <t xml:space="preserve"> PET MINCE 2KG/$3.00 - MUST HAVE GOOD PRINT - NO LINES OR SMUDGES</t>
  </si>
  <si>
    <t>"MEAT CITY PET MINCE 2KG/$3.00</t>
  </si>
  <si>
    <t>0802030</t>
  </si>
  <si>
    <t>10.06.2022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</si>
</sst>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49" fontId="13" fillId="0" borderId="3" xfId="0" applyNumberFormat="1" applyFont="1" applyBorder="1" applyAlignment="1" applyProtection="1">
      <alignment horizontal="center" vertical="center"/>
      <protection locked="0"/>
    </xf>
    <xf numFmtId="49" fontId="13" fillId="0" borderId="8" xfId="0" applyNumberFormat="1" applyFont="1" applyBorder="1" applyAlignment="1" applyProtection="1">
      <alignment horizontal="center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49" fontId="13" fillId="0" borderId="12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Z11" sqref="Z11"/>
    </sheetView>
  </sheetViews>
  <sheetFormatPr defaultRowHeight="14.4" x14ac:dyDescent="0.3"/>
  <sheetData>
    <row r="1" spans="1:28" ht="20.100000000000001" customHeight="1" x14ac:dyDescent="0.3">
      <c r="A1" s="12" t="s">
        <v>56</v>
      </c>
      <c r="B1" s="123" t="str">
        <f>O9&amp;R9&amp;IF(X8="G","G","")&amp;IF(O8="Centrefold Roll","("&amp;E8&amp;")","")&amp;T9&amp;V9&amp;C22&amp;C23&amp;C24&amp;O11&amp;R11</f>
        <v>PB30045035ASP</v>
      </c>
      <c r="C1" s="123"/>
      <c r="D1" s="124"/>
      <c r="E1" s="12" t="s">
        <v>57</v>
      </c>
      <c r="F1" s="134" t="s">
        <v>195</v>
      </c>
      <c r="G1" s="134"/>
      <c r="H1" s="135"/>
      <c r="I1" s="13" t="s">
        <v>181</v>
      </c>
      <c r="J1" s="136">
        <f ca="1">TODAY()</f>
        <v>44705</v>
      </c>
      <c r="K1" s="136"/>
      <c r="L1" s="137"/>
      <c r="M1" s="34"/>
      <c r="N1" s="12" t="s">
        <v>56</v>
      </c>
      <c r="O1" s="123" t="str">
        <f>B1</f>
        <v>PB30045035ASP</v>
      </c>
      <c r="P1" s="123"/>
      <c r="Q1" s="124"/>
      <c r="R1" s="12" t="s">
        <v>57</v>
      </c>
      <c r="S1" s="123" t="str">
        <f>F1</f>
        <v>DENCO</v>
      </c>
      <c r="T1" s="123"/>
      <c r="U1" s="124"/>
      <c r="V1" s="12" t="s">
        <v>181</v>
      </c>
      <c r="W1" s="136">
        <f ca="1">J1</f>
        <v>44705</v>
      </c>
      <c r="X1" s="136"/>
      <c r="Y1" s="137"/>
    </row>
    <row r="2" spans="1:28" ht="20.100000000000001" customHeight="1" x14ac:dyDescent="0.3">
      <c r="A2" s="12" t="s">
        <v>100</v>
      </c>
      <c r="B2" s="123" t="str">
        <f>IF(U10="","",U10)</f>
        <v>0802030</v>
      </c>
      <c r="C2" s="123"/>
      <c r="D2" s="124"/>
      <c r="E2" s="12" t="s">
        <v>58</v>
      </c>
      <c r="F2" s="73">
        <v>943151</v>
      </c>
      <c r="G2" s="73"/>
      <c r="H2" s="74"/>
      <c r="I2" s="12" t="s">
        <v>59</v>
      </c>
      <c r="J2" s="139" t="s">
        <v>201</v>
      </c>
      <c r="K2" s="73"/>
      <c r="L2" s="74"/>
      <c r="M2" s="34"/>
      <c r="N2" s="12" t="s">
        <v>100</v>
      </c>
      <c r="O2" s="123" t="str">
        <f>IF(B2="","",B2)</f>
        <v>0802030</v>
      </c>
      <c r="P2" s="123"/>
      <c r="Q2" s="124"/>
      <c r="R2" s="12" t="s">
        <v>58</v>
      </c>
      <c r="S2" s="123">
        <f>IF(F2="","",F2)</f>
        <v>943151</v>
      </c>
      <c r="T2" s="123"/>
      <c r="U2" s="124"/>
      <c r="V2" s="12" t="s">
        <v>59</v>
      </c>
      <c r="W2" s="138" t="str">
        <f>J2</f>
        <v>10.06.2022</v>
      </c>
      <c r="X2" s="123"/>
      <c r="Y2" s="124"/>
    </row>
    <row r="3" spans="1:28" ht="20.100000000000001" customHeight="1" x14ac:dyDescent="0.3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 xml:space="preserve"> PET MINCE 2KG/$3.00 - MUST HAVE GOOD PRINT - NO LINES OR SMUDGES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3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3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5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10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10000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3">
      <c r="A8" s="15" t="s">
        <v>16</v>
      </c>
      <c r="B8" s="111">
        <f>R9</f>
        <v>300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5">
      <c r="A9" s="18" t="s">
        <v>48</v>
      </c>
      <c r="B9" s="143" t="s">
        <v>194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197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300</v>
      </c>
      <c r="S9" s="20" t="s">
        <v>78</v>
      </c>
      <c r="T9" s="35">
        <v>450</v>
      </c>
      <c r="U9" s="20" t="s">
        <v>78</v>
      </c>
      <c r="V9" s="35">
        <v>35</v>
      </c>
      <c r="W9" s="19"/>
      <c r="X9" s="99"/>
      <c r="Y9" s="100"/>
    </row>
    <row r="10" spans="1:28" ht="20.100000000000001" customHeight="1" x14ac:dyDescent="0.3">
      <c r="A10" s="12" t="s">
        <v>51</v>
      </c>
      <c r="B10" s="73">
        <v>4</v>
      </c>
      <c r="C10" s="74"/>
      <c r="D10" s="54" t="s">
        <v>134</v>
      </c>
      <c r="E10" s="145">
        <f>IF(ISNUMBER(SEARCH("sheet",O8,1)),((R9*T9*H8/540000)*U7/2000*1.3),((R9*T9*H8/540000)*U7/1000*1.08))</f>
        <v>94.5</v>
      </c>
      <c r="F10" s="146"/>
      <c r="G10" s="12" t="s">
        <v>53</v>
      </c>
      <c r="H10" s="149">
        <f>IF(ISNUMBER(SEARCH("sheet",O8,1)),(U7*T9/2000*1.08),(U7*T9/1000*1.08))</f>
        <v>4860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Yes</v>
      </c>
      <c r="S10" s="109"/>
      <c r="T10" s="16" t="s">
        <v>100</v>
      </c>
      <c r="U10" s="119" t="s">
        <v>200</v>
      </c>
      <c r="V10" s="119"/>
      <c r="W10" s="119"/>
      <c r="X10" s="119"/>
      <c r="Y10" s="120"/>
    </row>
    <row r="11" spans="1:28" ht="20.100000000000001" customHeight="1" x14ac:dyDescent="0.3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23.625</v>
      </c>
      <c r="F11" s="148"/>
      <c r="G11" s="12" t="s">
        <v>15</v>
      </c>
      <c r="H11" s="147">
        <f>H10/B10</f>
        <v>1215</v>
      </c>
      <c r="I11" s="148"/>
      <c r="J11" s="12" t="s">
        <v>50</v>
      </c>
      <c r="K11" s="73" t="s">
        <v>64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>P</v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3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3">
      <c r="A13" s="12" t="s">
        <v>68</v>
      </c>
      <c r="B13" s="73" t="s">
        <v>70</v>
      </c>
      <c r="C13" s="73"/>
      <c r="D13" s="74"/>
      <c r="E13" s="22" t="s">
        <v>61</v>
      </c>
      <c r="F13" s="73" t="s">
        <v>66</v>
      </c>
      <c r="G13" s="73"/>
      <c r="H13" s="74"/>
      <c r="I13" s="23" t="s">
        <v>62</v>
      </c>
      <c r="J13" s="73" t="s">
        <v>150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5">
      <c r="A14" s="15" t="s">
        <v>60</v>
      </c>
      <c r="B14" s="115" t="s">
        <v>199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3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3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3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3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3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3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3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3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3">
      <c r="A23" s="156" t="s">
        <v>196</v>
      </c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3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3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3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3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3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3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3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3">
      <c r="N43" s="59"/>
    </row>
    <row r="44" spans="1:25" ht="20.100000000000001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3"/>
    <row r="87" spans="1:25" ht="20.100000000000001" customHeight="1" x14ac:dyDescent="0.3"/>
    <row r="88" spans="1:25" ht="20.100000000000001" customHeight="1" x14ac:dyDescent="0.3"/>
    <row r="89" spans="1:25" ht="20.100000000000001" customHeight="1" x14ac:dyDescent="0.3"/>
    <row r="90" spans="1:25" ht="20.100000000000001" customHeight="1" x14ac:dyDescent="0.3"/>
    <row r="91" spans="1:25" ht="20.100000000000001" customHeight="1" x14ac:dyDescent="0.3"/>
    <row r="92" spans="1:25" ht="20.100000000000001" customHeight="1" x14ac:dyDescent="0.3"/>
    <row r="93" spans="1:25" ht="20.100000000000001" customHeight="1" x14ac:dyDescent="0.3"/>
    <row r="94" spans="1:25" ht="20.100000000000001" customHeight="1" x14ac:dyDescent="0.3"/>
    <row r="95" spans="1:25" ht="20.100000000000001" customHeight="1" x14ac:dyDescent="0.3"/>
    <row r="96" spans="1:25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4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44736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44726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5F3FA62-3C09-4F43-95F4-6438CDEAD37B}"/>
</file>

<file path=customXml/itemProps2.xml><?xml version="1.0" encoding="utf-8"?>
<ds:datastoreItem xmlns:ds="http://schemas.openxmlformats.org/officeDocument/2006/customXml" ds:itemID="{F44B0703-4550-49AB-B5B7-85D2A8D0651F}"/>
</file>

<file path=customXml/itemProps3.xml><?xml version="1.0" encoding="utf-8"?>
<ds:datastoreItem xmlns:ds="http://schemas.openxmlformats.org/officeDocument/2006/customXml" ds:itemID="{B31F613E-4B63-4928-87EA-6A899D2486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Rohan</cp:lastModifiedBy>
  <cp:lastPrinted>2022-05-24T02:56:44Z</cp:lastPrinted>
  <dcterms:created xsi:type="dcterms:W3CDTF">2019-11-27T23:28:06Z</dcterms:created>
  <dcterms:modified xsi:type="dcterms:W3CDTF">2022-05-24T03:58:03Z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