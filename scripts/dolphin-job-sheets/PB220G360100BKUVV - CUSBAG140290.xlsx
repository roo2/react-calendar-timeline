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9E5C2D-5388-40E0-9315-53B402D2876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<sst xmlns="http://schemas.openxmlformats.org/spreadsheetml/2006/main" count="307" uniqueCount="203">
  <si>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</si>
  <si>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</si>
  <si>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</si>
  <si>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</si>
  <si>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</si>
  <si>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</si>
  <si>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</si>
  <si>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</si>
  <si>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</si>
  <si>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</si>
  <si>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</si>
  <si>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</si>
  <si>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</si>
  <si>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</si>
  <si>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</si>
  <si>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</si>
  <si>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</si>
  <si>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</si>
  <si>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</si>
  <si>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</si>
  <si>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</si>
  <si>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</si>
  <si>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</si>
  <si>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</si>
  <si>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</si>
  <si>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</si>
  <si>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</si>
  <si>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</si>
  <si>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</si>
  <si>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</si>
  <si>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</si>
  <si>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</si>
  <si>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</si>
  <si>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</si>
  <si>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</si>
  <si>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</si>
  <si>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</si>
  <si>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</si>
  <si>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</si>
  <si>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</si>
  <si>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</si>
  <si>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</si>
  <si>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</si>
  <si>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</si>
  <si>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</si>
  <si>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</si>
  <si>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</si>
  <si>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</si>
  <si>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</si>
  <si>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</si>
  <si>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</si>
  <si>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</si>
  <si>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</si>
  <si>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</si>
  <si>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</si>
  <si>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</si>
  <si>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</si>
  <si>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</si>
  <si>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</si>
  <si>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</si>
  <si>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</si>
  <si>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</si>
  <si>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</si>
  <si>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</si>
  <si>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</si>
  <si>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</si>
  <si>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</si>
  <si>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</si>
  <si>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</si>
  <si>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</si>
  <si>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</si>
  <si>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</si>
  <si>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</si>
  <si>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</si>
  <si>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</si>
  <si>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</si>
  <si>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</si>
  <si>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</si>
  <si>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</si>
  <si>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</si>
  <si>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</si>
  <si>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</si>
  <si>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</si>
  <si>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</si>
  <si>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</si>
  <si>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</si>
  <si>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</si>
  <si>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</si>
  <si>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</si>
  <si>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</si>
  <si>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</si>
  <si>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</si>
  <si>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</si>
  <si>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</si>
  <si>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</si>
  <si>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</si>
  <si>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</si>
  <si>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</si>
  <si>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</si>
  <si>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</si>
  <si>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</si>
  <si>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</si>
  <si>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</si>
  <si>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</si>
  <si>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</si>
  <si>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</si>
  <si>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</si>
  <si>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</si>
  <si>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</si>
  <si>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</si>
  <si>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</si>
  <si>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</si>
  <si>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</si>
  <si>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</si>
  <si>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</si>
  <si>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</si>
  <si>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</si>
  <si>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</si>
  <si>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</si>
  <si>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</si>
  <si>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</si>
  <si>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</si>
  <si>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</si>
  <si>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</si>
  <si>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</si>
  <si>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</si>
  <si>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</si>
  <si>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</si>
  <si>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</si>
  <si>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</si>
  <si>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</si>
  <si>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</si>
  <si>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</si>
  <si>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</si>
  <si>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</si>
  <si>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</si>
  <si>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</si>
  <si>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</si>
  <si>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</si>
  <si>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</si>
  <si>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</si>
  <si>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</si>
  <si>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</si>
  <si>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</si>
  <si>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</si>
  <si>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</si>
  <si>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</si>
  <si>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</si>
  <si>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</si>
  <si>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</si>
  <si>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</si>
  <si>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</si>
  <si>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</si>
  <si>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</si>
  <si>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</si>
  <si>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</si>
  <si>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</si>
  <si>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</si>
  <si>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</si>
  <si>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</si>
  <si>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</si>
  <si>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</si>
  <si>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</si>
  <si>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</si>
  <si>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</si>
  <si>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</si>
  <si>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</si>
  <si>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</si>
  <si>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</si>
  <si>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</si>
  <si>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</si>
  <si>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</si>
  <si>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</si>
  <si>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</si>
  <si>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</si>
  <si>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</si>
  <si>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</si>
  <si>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</si>
  <si>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</si>
  <si>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</si>
  <si>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</si>
  <si>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</si>
  <si>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</si>
  <si>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</si>
  <si>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</si>
  <si>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</si>
  <si>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</si>
  <si>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</si>
  <si>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</si>
  <si>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</si>
  <si>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</si>
  <si>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</si>
  <si>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</si>
  <si>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>ASAP</t>
  </si>
  <si>
    <t>Centrefold Roll</t>
  </si>
  <si>
    <t>(115+105)</t>
  </si>
  <si>
    <t>SPOT ON FINISH. USE DOLPHIN REMILL, MUST NOT BE BLOCKED.</t>
  </si>
  <si>
    <t>FERNLAND AGENCIES</t>
  </si>
  <si>
    <t>CUSBAG140/290</t>
  </si>
  <si>
    <t xml:space="preserve"> +0mm/-5mm</t>
  </si>
  <si>
    <t>RUN AT 100UM</t>
  </si>
  <si>
    <t>HOLE PUNCH SAME AS FERNLANDS PB240G360100BKUV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</si>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</sst>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1" applyNumberFormat="1" applyFont="1" applyBorder="1" applyAlignment="1" applyProtection="1">
      <alignment horizontal="center"/>
      <protection locked="0"/>
    </xf>
    <xf numFmtId="10" fontId="9" fillId="0" borderId="5" xfId="1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PB220G360100BKUVV</v>
      </c>
      <c r="C1" s="111"/>
      <c r="D1" s="112"/>
      <c r="E1" s="11" t="s">
        <v>57</v>
      </c>
      <c r="F1" s="63" t="s">
        <v>197</v>
      </c>
      <c r="G1" s="63"/>
      <c r="H1" s="64"/>
      <c r="I1" s="12" t="s">
        <v>181</v>
      </c>
      <c r="J1" s="122">
        <f ca="1">TODAY()</f>
        <v>45828</v>
      </c>
      <c r="K1" s="122"/>
      <c r="L1" s="123"/>
      <c r="M1" s="30"/>
      <c r="N1" s="11" t="s">
        <v>56</v>
      </c>
      <c r="O1" s="111" t="str">
        <f>B1</f>
        <v>PB220G360100BKUVV</v>
      </c>
      <c r="P1" s="111"/>
      <c r="Q1" s="112"/>
      <c r="R1" s="11" t="s">
        <v>57</v>
      </c>
      <c r="S1" s="111" t="str">
        <f>F1</f>
        <v>FERNLAND AGENCIES</v>
      </c>
      <c r="T1" s="111"/>
      <c r="U1" s="112"/>
      <c r="V1" s="11" t="s">
        <v>181</v>
      </c>
      <c r="W1" s="122">
        <f ca="1">J1</f>
        <v>45828</v>
      </c>
      <c r="X1" s="122"/>
      <c r="Y1" s="123"/>
    </row>
    <row r="2" spans="1:25" ht="20.149999999999999" customHeight="1" x14ac:dyDescent="0.8">
      <c r="A2" s="11" t="s">
        <v>100</v>
      </c>
      <c r="B2" s="111" t="str">
        <f>IF(U10="","",U10)</f>
        <v>CUSBAG140/290</v>
      </c>
      <c r="C2" s="111"/>
      <c r="D2" s="112"/>
      <c r="E2" s="11" t="s">
        <v>58</v>
      </c>
      <c r="F2" s="63">
        <v>950181</v>
      </c>
      <c r="G2" s="63"/>
      <c r="H2" s="64"/>
      <c r="I2" s="11" t="s">
        <v>59</v>
      </c>
      <c r="J2" s="125" t="s">
        <v>193</v>
      </c>
      <c r="K2" s="63"/>
      <c r="L2" s="64"/>
      <c r="M2" s="30"/>
      <c r="N2" s="11" t="s">
        <v>100</v>
      </c>
      <c r="O2" s="111" t="str">
        <f>IF(B2="","",B2)</f>
        <v>CUSBAG140/290</v>
      </c>
      <c r="P2" s="111"/>
      <c r="Q2" s="112"/>
      <c r="R2" s="11" t="s">
        <v>58</v>
      </c>
      <c r="S2" s="111">
        <f>IF(F2="","",F2)</f>
        <v>950181</v>
      </c>
      <c r="T2" s="111"/>
      <c r="U2" s="112"/>
      <c r="V2" s="11" t="s">
        <v>59</v>
      </c>
      <c r="W2" s="124" t="str">
        <f>J2</f>
        <v>ASAP</v>
      </c>
      <c r="X2" s="111"/>
      <c r="Y2" s="112"/>
    </row>
    <row r="3" spans="1:25" ht="20.149999999999999" customHeight="1" x14ac:dyDescent="0.7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1"/>
      <c r="K6" s="71"/>
      <c r="L6" s="72"/>
      <c r="M6" s="30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3" t="s">
        <v>177</v>
      </c>
      <c r="C7" s="103"/>
      <c r="D7" s="103"/>
      <c r="E7" s="103"/>
      <c r="F7" s="103"/>
      <c r="G7" s="103"/>
      <c r="H7" s="103"/>
      <c r="I7" s="104"/>
      <c r="J7" s="68" t="s">
        <v>179</v>
      </c>
      <c r="K7" s="68"/>
      <c r="L7" s="69"/>
      <c r="M7" s="30"/>
      <c r="N7" s="11" t="str">
        <f>IF(ISNUMBER(SEARCH("roll",O8,1)),"No. Rolls","No. Cartons")</f>
        <v>No. Cartons</v>
      </c>
      <c r="O7" s="63">
        <v>60</v>
      </c>
      <c r="P7" s="64"/>
      <c r="Q7" s="11" t="str">
        <f>IF(ISNUMBER(SEARCH("roll",O8,1)),"Per Roll","Per Carton")</f>
        <v>Per Carton</v>
      </c>
      <c r="R7" s="63">
        <v>500</v>
      </c>
      <c r="S7" s="64"/>
      <c r="T7" s="11" t="str">
        <f>IF(ISNUMBER(SEARCH("bag",O8,1)),"Total Bags","Total Sheets")</f>
        <v>Total Bags</v>
      </c>
      <c r="U7" s="111">
        <f>R7*O7</f>
        <v>30000</v>
      </c>
      <c r="V7" s="112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9">
        <f>R9</f>
        <v>220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(115+105)</v>
      </c>
      <c r="F8" s="100"/>
      <c r="G8" s="13" t="s">
        <v>52</v>
      </c>
      <c r="H8" s="99">
        <f>(IF(V9&lt;30,"30",V9))</f>
        <v>100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49999999999999" customHeight="1" x14ac:dyDescent="0.9">
      <c r="A9" s="17" t="s">
        <v>48</v>
      </c>
      <c r="B9" s="128" t="s">
        <v>199</v>
      </c>
      <c r="C9" s="129"/>
      <c r="D9" s="136" t="str">
        <f>IF(K10="Middle","RUN 2 UP",IF(AND(O8="Centrefold Roll",B8=380),"RUN 2 UP",""))</f>
        <v/>
      </c>
      <c r="E9" s="103"/>
      <c r="F9" s="104"/>
      <c r="G9" s="17" t="s">
        <v>48</v>
      </c>
      <c r="H9" s="128" t="s">
        <v>200</v>
      </c>
      <c r="I9" s="129"/>
      <c r="J9" s="11" t="s">
        <v>55</v>
      </c>
      <c r="K9" s="63" t="s">
        <v>30</v>
      </c>
      <c r="L9" s="64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220</v>
      </c>
      <c r="S9" s="19" t="s">
        <v>78</v>
      </c>
      <c r="T9" s="31">
        <v>360</v>
      </c>
      <c r="U9" s="19" t="s">
        <v>78</v>
      </c>
      <c r="V9" s="31">
        <v>100</v>
      </c>
      <c r="W9" s="18"/>
      <c r="X9" s="89" t="s">
        <v>195</v>
      </c>
      <c r="Y9" s="90"/>
    </row>
    <row r="10" spans="1:25" ht="20.149999999999999" customHeight="1" x14ac:dyDescent="0.8">
      <c r="A10" s="11" t="s">
        <v>51</v>
      </c>
      <c r="B10" s="63">
        <v>20</v>
      </c>
      <c r="C10" s="64"/>
      <c r="D10" s="48" t="s">
        <v>134</v>
      </c>
      <c r="E10" s="130">
        <f>IF(ISNUMBER(SEARCH("sheet",O8,1)),((R9*T9*H8/540000)*U7/2000*1.3),((R9*T9*H8/540000)*U7/1000*1.08))</f>
        <v>475.20000000000005</v>
      </c>
      <c r="F10" s="131"/>
      <c r="G10" s="11" t="s">
        <v>53</v>
      </c>
      <c r="H10" s="134">
        <f>IF(ISNUMBER(SEARCH("sheet",O8,1)),(U7*T9/2000*1.08),(U7*T9/1000*1.08))</f>
        <v>11664</v>
      </c>
      <c r="I10" s="135"/>
      <c r="J10" s="11" t="s">
        <v>41</v>
      </c>
      <c r="K10" s="63" t="s">
        <v>44</v>
      </c>
      <c r="L10" s="64"/>
      <c r="M10" s="30"/>
      <c r="N10" s="14" t="s">
        <v>141</v>
      </c>
      <c r="O10" s="101" t="s">
        <v>140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198</v>
      </c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23.76</v>
      </c>
      <c r="F11" s="133"/>
      <c r="G11" s="11" t="s">
        <v>15</v>
      </c>
      <c r="H11" s="132">
        <f>H10/B10</f>
        <v>583.20000000000005</v>
      </c>
      <c r="I11" s="133"/>
      <c r="J11" s="11" t="s">
        <v>50</v>
      </c>
      <c r="K11" s="63" t="s">
        <v>44</v>
      </c>
      <c r="L11" s="64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30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20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30"/>
      <c r="N13" s="11" t="s">
        <v>72</v>
      </c>
      <c r="O13" s="32" t="s">
        <v>36</v>
      </c>
      <c r="P13" s="11" t="s">
        <v>73</v>
      </c>
      <c r="Q13" s="21">
        <f>O7</f>
        <v>60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30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49" t="s">
        <v>4</v>
      </c>
      <c r="F16" s="149"/>
      <c r="G16" s="149" t="s">
        <v>5</v>
      </c>
      <c r="H16" s="149"/>
      <c r="I16" s="68" t="s">
        <v>11</v>
      </c>
      <c r="J16" s="69"/>
      <c r="K16" s="68" t="s">
        <v>12</v>
      </c>
      <c r="L16" s="69"/>
      <c r="M16" s="30"/>
      <c r="N16" s="11" t="s">
        <v>28</v>
      </c>
      <c r="O16" s="63">
        <v>110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5" t="s">
        <v>147</v>
      </c>
      <c r="D17" s="96"/>
      <c r="E17" s="91"/>
      <c r="F17" s="92"/>
      <c r="G17" s="49" t="s">
        <v>81</v>
      </c>
      <c r="H17" s="33"/>
      <c r="I17" s="60"/>
      <c r="J17" s="61"/>
      <c r="K17" s="60"/>
      <c r="L17" s="61"/>
      <c r="M17" s="30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5" t="s">
        <v>146</v>
      </c>
      <c r="D18" s="96"/>
      <c r="E18" s="91"/>
      <c r="F18" s="92"/>
      <c r="G18" s="49" t="s">
        <v>82</v>
      </c>
      <c r="H18" s="33"/>
      <c r="I18" s="60"/>
      <c r="J18" s="61"/>
      <c r="K18" s="60"/>
      <c r="L18" s="61"/>
      <c r="M18" s="30"/>
      <c r="N18" s="11" t="s">
        <v>101</v>
      </c>
      <c r="O18" s="63" t="s">
        <v>185</v>
      </c>
      <c r="P18" s="64"/>
      <c r="Q18" s="11" t="s">
        <v>106</v>
      </c>
      <c r="R18" s="63" t="s">
        <v>31</v>
      </c>
      <c r="S18" s="64"/>
      <c r="T18" s="22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5" t="s">
        <v>145</v>
      </c>
      <c r="D19" s="96"/>
      <c r="E19" s="91"/>
      <c r="F19" s="92"/>
      <c r="G19" s="49" t="s">
        <v>83</v>
      </c>
      <c r="H19" s="33"/>
      <c r="I19" s="60"/>
      <c r="J19" s="61"/>
      <c r="K19" s="60"/>
      <c r="L19" s="61"/>
      <c r="M19" s="30"/>
      <c r="N19" s="76" t="s">
        <v>201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5" t="s">
        <v>144</v>
      </c>
      <c r="D20" s="96"/>
      <c r="E20" s="91"/>
      <c r="F20" s="92"/>
      <c r="G20" s="49" t="s">
        <v>84</v>
      </c>
      <c r="H20" s="33"/>
      <c r="I20" s="60"/>
      <c r="J20" s="61"/>
      <c r="K20" s="60"/>
      <c r="L20" s="61"/>
      <c r="M20" s="30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5" t="s">
        <v>143</v>
      </c>
      <c r="D21" s="96"/>
      <c r="E21" s="91"/>
      <c r="F21" s="92"/>
      <c r="G21" s="49" t="s">
        <v>85</v>
      </c>
      <c r="H21" s="33"/>
      <c r="I21" s="60"/>
      <c r="J21" s="61"/>
      <c r="K21" s="60"/>
      <c r="L21" s="61"/>
      <c r="M21" s="30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>BLACK</v>
      </c>
      <c r="B22" s="62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6"/>
      <c r="E22" s="91">
        <v>0.03</v>
      </c>
      <c r="F22" s="92"/>
      <c r="G22" s="49" t="s">
        <v>86</v>
      </c>
      <c r="H22" s="33"/>
      <c r="I22" s="60"/>
      <c r="J22" s="61"/>
      <c r="K22" s="60"/>
      <c r="L22" s="61"/>
      <c r="M22" s="30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50" t="s">
        <v>192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91">
        <v>0.02</v>
      </c>
      <c r="F23" s="92"/>
      <c r="G23" s="49" t="s">
        <v>87</v>
      </c>
      <c r="H23" s="33"/>
      <c r="I23" s="60"/>
      <c r="J23" s="61"/>
      <c r="K23" s="60"/>
      <c r="L23" s="61"/>
      <c r="M23" s="30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51"/>
      <c r="B24" s="152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91"/>
      <c r="F24" s="92"/>
      <c r="G24" s="49" t="s">
        <v>88</v>
      </c>
      <c r="H24" s="33"/>
      <c r="I24" s="60"/>
      <c r="J24" s="61"/>
      <c r="K24" s="60"/>
      <c r="L24" s="61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30"/>
      <c r="N25" s="23" t="s">
        <v>96</v>
      </c>
      <c r="O25" s="10" t="s">
        <v>202</v>
      </c>
      <c r="P25" s="35"/>
      <c r="Q25" s="10">
        <v>24</v>
      </c>
      <c r="R25" s="10">
        <v>6</v>
      </c>
      <c r="S25" s="10"/>
      <c r="T25" s="10">
        <v>10</v>
      </c>
      <c r="U25" s="10"/>
      <c r="V25" s="10">
        <v>3</v>
      </c>
      <c r="W25" s="10">
        <v>200</v>
      </c>
      <c r="X25" s="10">
        <v>200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45858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45849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194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17A4052-9417-4E90-8B73-06F01D95905B}"/>
</file>

<file path=customXml/itemProps2.xml><?xml version="1.0" encoding="utf-8"?>
<ds:datastoreItem xmlns:ds="http://schemas.openxmlformats.org/officeDocument/2006/customXml" ds:itemID="{97F27761-F66D-45C0-AE58-9B66B4870FC5}"/>
</file>

<file path=customXml/itemProps3.xml><?xml version="1.0" encoding="utf-8"?>
<ds:datastoreItem xmlns:ds="http://schemas.openxmlformats.org/officeDocument/2006/customXml" ds:itemID="{1BA538DE-7751-428E-BB76-1CEB51813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2025-06-20T01:51:40Z</cp:lastPrinted>
  <dcterms:created xsi:type="dcterms:W3CDTF">2019-11-27T23:28:06Z</dcterms:created>
  <dcterms:modified xsi:type="dcterms:W3CDTF">2025-07-08T00:45:11Z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