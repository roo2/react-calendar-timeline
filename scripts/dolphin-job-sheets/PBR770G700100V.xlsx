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65E6C46-C640-4552-B2A0-90E4E4E4157D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<sst xmlns="http://schemas.openxmlformats.org/spreadsheetml/2006/main" count="300" uniqueCount="198">
  <si>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</si>
  <si>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</si>
  <si>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</si>
  <si>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</si>
  <si>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</si>
  <si>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</si>
  <si>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</si>
  <si>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</si>
  <si>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</si>
  <si>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</si>
  <si>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</si>
  <si>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</si>
  <si>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</si>
  <si>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</si>
  <si>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</si>
  <si>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</si>
  <si>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</si>
  <si>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</si>
  <si>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</si>
  <si>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</si>
  <si>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</si>
  <si>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</si>
  <si>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</si>
  <si>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</si>
  <si>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</si>
  <si>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</si>
  <si>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</si>
  <si>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</si>
  <si>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</si>
  <si>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</si>
  <si>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</si>
  <si>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</si>
  <si>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</si>
  <si>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</si>
  <si>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</si>
  <si>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</si>
  <si>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</si>
  <si>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</si>
  <si>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</si>
  <si>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</si>
  <si>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</si>
  <si>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</si>
  <si>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</si>
  <si>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</si>
  <si>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</si>
  <si>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</si>
  <si>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</si>
  <si>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</si>
  <si>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</si>
  <si>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</si>
  <si>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</si>
  <si>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</si>
  <si>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</si>
  <si>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</si>
  <si>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</si>
  <si>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</si>
  <si>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</si>
  <si>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</si>
  <si>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</si>
  <si>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</si>
  <si>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</si>
  <si>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</si>
  <si>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</si>
  <si>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</si>
  <si>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</si>
  <si>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</si>
  <si>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</si>
  <si>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</si>
  <si>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</si>
  <si>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</si>
  <si>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</si>
  <si>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</si>
  <si>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</si>
  <si>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</si>
  <si>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</si>
  <si>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</si>
  <si>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</si>
  <si>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</si>
  <si>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</si>
  <si>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</si>
  <si>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</si>
  <si>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</si>
  <si>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</si>
  <si>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</si>
  <si>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</si>
  <si>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</si>
  <si>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</si>
  <si>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</si>
  <si>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</si>
  <si>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</si>
  <si>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</si>
  <si>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</si>
  <si>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</si>
  <si>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</si>
  <si>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</si>
  <si>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</si>
  <si>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</si>
  <si>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</si>
  <si>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</si>
  <si>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</si>
  <si>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</si>
  <si>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</si>
  <si>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</si>
  <si>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</si>
  <si>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</si>
  <si>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</si>
  <si>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</si>
  <si>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</si>
  <si>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</si>
  <si>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</si>
  <si>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</si>
  <si>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</si>
  <si>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</si>
  <si>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</si>
  <si>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</si>
  <si>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</si>
  <si>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</si>
  <si>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</si>
  <si>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</si>
  <si>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</si>
  <si>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</si>
  <si>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</si>
  <si>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</si>
  <si>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</si>
  <si>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</si>
  <si>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</si>
  <si>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</si>
  <si>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</si>
  <si>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</si>
  <si>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</si>
  <si>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</si>
  <si>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</si>
  <si>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</si>
  <si>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</si>
  <si>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</si>
  <si>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</si>
  <si>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</si>
  <si>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</si>
  <si>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</si>
  <si>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</si>
  <si>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</si>
  <si>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</si>
  <si>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</si>
  <si>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</si>
  <si>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</si>
  <si>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</si>
  <si>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</si>
  <si>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</si>
  <si>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</si>
  <si>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</si>
  <si>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</si>
  <si>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</si>
  <si>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</si>
  <si>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</si>
  <si>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</si>
  <si>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</si>
  <si>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</si>
  <si>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</si>
  <si>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</si>
  <si>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</si>
  <si>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</si>
  <si>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</si>
  <si>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</si>
  <si>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</si>
  <si>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</si>
  <si>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</si>
  <si>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</si>
  <si>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</si>
  <si>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</si>
  <si>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</si>
  <si>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</si>
  <si>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</si>
  <si>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</si>
  <si>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</si>
  <si>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</si>
  <si>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</si>
  <si>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</si>
  <si>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</si>
  <si>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</si>
  <si>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</si>
  <si>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</si>
  <si>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</si>
  <si>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</si>
  <si>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</si>
  <si>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</si>
  <si>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</si>
  <si>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</si>
  <si>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</si>
  <si>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</si>
  <si>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</si>
  <si>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</si>
  <si>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</si>
  <si>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</si>
  <si>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</si>
  <si>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</si>
  <si>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NOT OVER</t>
  </si>
  <si>
    <t>BEANS GALORE</t>
  </si>
  <si>
    <t>(495+295)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</si>
</sst>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B13" sqref="B13:D13"/>
    </sheetView>
  </sheetViews>
  <sheetFormatPr defaultRowHeight="14.75" x14ac:dyDescent="0.75"/>
  <sheetData>
    <row r="1" spans="1:25" ht="20.100000000000001" customHeight="1" x14ac:dyDescent="0.8">
      <c r="A1" s="16" t="s">
        <v>55</v>
      </c>
      <c r="B1" s="113" t="str">
        <f>O9&amp;R9&amp;IF(X8="G","G","")&amp;IF(O8="Centrefold Roll","("&amp;E8&amp;")","")&amp;T9&amp;V9&amp;C22&amp;C23&amp;C24&amp;O11&amp;R11</f>
        <v>PBR790G150060V</v>
      </c>
      <c r="C1" s="113"/>
      <c r="D1" s="114"/>
      <c r="E1" s="16" t="s">
        <v>56</v>
      </c>
      <c r="F1" s="94" t="s">
        <v>196</v>
      </c>
      <c r="G1" s="94"/>
      <c r="H1" s="95"/>
      <c r="I1" s="16" t="s">
        <v>180</v>
      </c>
      <c r="J1" s="134">
        <f ca="1">TODAY()</f>
        <v>45432</v>
      </c>
      <c r="K1" s="134"/>
      <c r="L1" s="135"/>
      <c r="M1" s="30"/>
      <c r="N1" s="16" t="s">
        <v>55</v>
      </c>
      <c r="O1" s="113" t="str">
        <f>B1</f>
        <v>PBR790G150060V</v>
      </c>
      <c r="P1" s="113"/>
      <c r="Q1" s="114"/>
      <c r="R1" s="16" t="s">
        <v>56</v>
      </c>
      <c r="S1" s="113" t="str">
        <f>F1</f>
        <v>BEANS GALORE</v>
      </c>
      <c r="T1" s="113"/>
      <c r="U1" s="114"/>
      <c r="V1" s="16" t="s">
        <v>180</v>
      </c>
      <c r="W1" s="134">
        <f ca="1">J1</f>
        <v>45432</v>
      </c>
      <c r="X1" s="134"/>
      <c r="Y1" s="135"/>
    </row>
    <row r="2" spans="1:25" ht="20.100000000000001" customHeight="1" x14ac:dyDescent="0.8">
      <c r="A2" s="16" t="s">
        <v>99</v>
      </c>
      <c r="B2" s="113" t="str">
        <f>IF(U10="","",U10)</f>
        <v/>
      </c>
      <c r="C2" s="113"/>
      <c r="D2" s="114"/>
      <c r="E2" s="16" t="s">
        <v>57</v>
      </c>
      <c r="F2" s="94">
        <v>947870</v>
      </c>
      <c r="G2" s="94"/>
      <c r="H2" s="95"/>
      <c r="I2" s="16" t="s">
        <v>58</v>
      </c>
      <c r="J2" s="93">
        <v>45453</v>
      </c>
      <c r="K2" s="94"/>
      <c r="L2" s="95"/>
      <c r="M2" s="30"/>
      <c r="N2" s="16" t="s">
        <v>99</v>
      </c>
      <c r="O2" s="113" t="str">
        <f>IF(B2="","",B2)</f>
        <v/>
      </c>
      <c r="P2" s="113"/>
      <c r="Q2" s="114"/>
      <c r="R2" s="16" t="s">
        <v>57</v>
      </c>
      <c r="S2" s="113">
        <f>IF(F2="","",F2)</f>
        <v>947870</v>
      </c>
      <c r="T2" s="113"/>
      <c r="U2" s="114"/>
      <c r="V2" s="16" t="s">
        <v>58</v>
      </c>
      <c r="W2" s="136">
        <f>J2</f>
        <v>45453</v>
      </c>
      <c r="X2" s="113"/>
      <c r="Y2" s="114"/>
    </row>
    <row r="3" spans="1:25" ht="20.100000000000001" customHeight="1" x14ac:dyDescent="0.75">
      <c r="A3" s="138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40"/>
      <c r="M3" s="30"/>
      <c r="N3" s="125">
        <f>A3</f>
        <v>0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5" ht="20.100000000000001" customHeight="1" x14ac:dyDescent="0.75">
      <c r="A4" s="141"/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3"/>
      <c r="M4" s="30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5" ht="20.100000000000001" customHeight="1" x14ac:dyDescent="0.75">
      <c r="A5" s="144"/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6"/>
      <c r="M5" s="30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5" ht="20.100000000000001" customHeight="1" x14ac:dyDescent="0.7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30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00000000000001" customHeight="1" x14ac:dyDescent="0.9">
      <c r="A7" s="16" t="s">
        <v>48</v>
      </c>
      <c r="B7" s="123" t="s">
        <v>162</v>
      </c>
      <c r="C7" s="123"/>
      <c r="D7" s="123"/>
      <c r="E7" s="123"/>
      <c r="F7" s="123"/>
      <c r="G7" s="123"/>
      <c r="H7" s="123"/>
      <c r="I7" s="124"/>
      <c r="J7" s="79" t="s">
        <v>178</v>
      </c>
      <c r="K7" s="79"/>
      <c r="L7" s="77"/>
      <c r="M7" s="30"/>
      <c r="N7" s="16" t="str">
        <f>IF(ISNUMBER(SEARCH("roll",O8,1)),"No. Rolls","No. Cartons")</f>
        <v>No. Rolls</v>
      </c>
      <c r="O7" s="94">
        <v>6</v>
      </c>
      <c r="P7" s="95"/>
      <c r="Q7" s="16" t="str">
        <f>IF(ISNUMBER(SEARCH("roll",O8,1)),"Per Roll","Per Carton")</f>
        <v>Per Roll</v>
      </c>
      <c r="R7" s="94">
        <v>100</v>
      </c>
      <c r="S7" s="95"/>
      <c r="T7" s="16" t="str">
        <f>IF(ISNUMBER(SEARCH("bag",O8,1)),"Total Bags","Total Sheets")</f>
        <v>Total Bags</v>
      </c>
      <c r="U7" s="113">
        <f>R7*O7</f>
        <v>600</v>
      </c>
      <c r="V7" s="114"/>
      <c r="W7" s="16" t="s">
        <v>101</v>
      </c>
      <c r="X7" s="94" t="s">
        <v>30</v>
      </c>
      <c r="Y7" s="95"/>
    </row>
    <row r="8" spans="1:25" ht="20.100000000000001" customHeight="1" x14ac:dyDescent="0.8">
      <c r="A8" s="17" t="s">
        <v>15</v>
      </c>
      <c r="B8" s="103">
        <f>R9</f>
        <v>790</v>
      </c>
      <c r="C8" s="106"/>
      <c r="D8" s="20" t="str">
        <f>IF(ISNUMBER(SEARCH("bag",#REF!,1)),"Gusset","Centrefold")</f>
        <v>Centrefold</v>
      </c>
      <c r="E8" s="103" t="str">
        <f>IF(O8="Centrefold Roll",B8*2,IF(X9="","None",X9))</f>
        <v>(495+295)</v>
      </c>
      <c r="F8" s="106"/>
      <c r="G8" s="17" t="s">
        <v>51</v>
      </c>
      <c r="H8" s="103">
        <f>(IF(V9&lt;30,"30",V9))</f>
        <v>60</v>
      </c>
      <c r="I8" s="106"/>
      <c r="J8" s="16" t="s">
        <v>53</v>
      </c>
      <c r="K8" s="113" t="str">
        <f>IF(X8="None","Layflat Tube",IF(X8="","Layflat Tube",IF(X8="CF","Layflat Tube",IF(X8="G","Gusset Tube",IF(X9="","Layflat Tube",)))))</f>
        <v>Gusset Tube</v>
      </c>
      <c r="L8" s="114"/>
      <c r="M8" s="30"/>
      <c r="N8" s="18" t="s">
        <v>53</v>
      </c>
      <c r="O8" s="104" t="s">
        <v>164</v>
      </c>
      <c r="P8" s="105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2" t="str">
        <f>IF(AND(W8="Gusset",X9=""), "None",IF(AND(W8="Centrefold",X9=""),"None",IF(W8="Gusset","G",IF(W8="Centrefold","CF"))))</f>
        <v>G</v>
      </c>
      <c r="Y8" s="137"/>
    </row>
    <row r="9" spans="1:25" ht="20.100000000000001" customHeight="1" x14ac:dyDescent="0.9">
      <c r="A9" s="21" t="s">
        <v>47</v>
      </c>
      <c r="B9" s="111" t="s">
        <v>194</v>
      </c>
      <c r="C9" s="112"/>
      <c r="D9" s="150" t="str">
        <f>IF(K10="Middle","RUN 2 UP",IF(AND(O8="Centrefold Roll",B8=380),"RUN 2 UP",""))</f>
        <v/>
      </c>
      <c r="E9" s="123"/>
      <c r="F9" s="124"/>
      <c r="G9" s="21" t="s">
        <v>47</v>
      </c>
      <c r="H9" s="111" t="s">
        <v>195</v>
      </c>
      <c r="I9" s="112"/>
      <c r="J9" s="16" t="s">
        <v>54</v>
      </c>
      <c r="K9" s="94" t="s">
        <v>29</v>
      </c>
      <c r="L9" s="95"/>
      <c r="M9" s="30"/>
      <c r="N9" s="22"/>
      <c r="O9" s="121" t="str">
        <f>IF(O8="Poly Bag","PB",IF(O8="Poly Bag Roll","PBR",IF(O8="Centrefold Roll","CFR",IF(O8="Sheet","S",IF(O8="Sheet Roll","SR")))))</f>
        <v>PBR</v>
      </c>
      <c r="P9" s="122"/>
      <c r="Q9" s="22"/>
      <c r="R9" s="31">
        <v>790</v>
      </c>
      <c r="S9" s="23" t="s">
        <v>77</v>
      </c>
      <c r="T9" s="31">
        <v>1500</v>
      </c>
      <c r="U9" s="23" t="s">
        <v>77</v>
      </c>
      <c r="V9" s="31">
        <v>60</v>
      </c>
      <c r="W9" s="22"/>
      <c r="X9" s="100" t="s">
        <v>197</v>
      </c>
      <c r="Y9" s="101"/>
    </row>
    <row r="10" spans="1:25" ht="20.100000000000001" customHeight="1" x14ac:dyDescent="0.8">
      <c r="A10" s="16" t="s">
        <v>50</v>
      </c>
      <c r="B10" s="94">
        <v>3</v>
      </c>
      <c r="C10" s="95"/>
      <c r="D10" s="49" t="s">
        <v>133</v>
      </c>
      <c r="E10" s="115">
        <f>IF(ISNUMBER(SEARCH("sheet",O8,1)),((R9*T9*H8/540000)*U7/2000*1.3),((R9*T9*H8/540000)*U7/1000*1.08))</f>
        <v>85.320000000000007</v>
      </c>
      <c r="F10" s="116"/>
      <c r="G10" s="16" t="s">
        <v>52</v>
      </c>
      <c r="H10" s="119">
        <f>IF(ISNUMBER(SEARCH("sheet",O8,1)),(U7*T9/2000*1.08),(U7*T9/1000*1.08))</f>
        <v>972.00000000000011</v>
      </c>
      <c r="I10" s="120"/>
      <c r="J10" s="16" t="s">
        <v>40</v>
      </c>
      <c r="K10" s="94" t="s">
        <v>43</v>
      </c>
      <c r="L10" s="95"/>
      <c r="M10" s="30"/>
      <c r="N10" s="18" t="s">
        <v>140</v>
      </c>
      <c r="O10" s="104" t="s">
        <v>187</v>
      </c>
      <c r="P10" s="105"/>
      <c r="Q10" s="18" t="s">
        <v>49</v>
      </c>
      <c r="R10" s="102" t="str">
        <f>IF(K11="NONE","None",IF(K11="INLINE","Yes",IF(K11="OUT OF LINE","Yes")))</f>
        <v>None</v>
      </c>
      <c r="S10" s="102"/>
      <c r="T10" s="18" t="s">
        <v>99</v>
      </c>
      <c r="U10" s="96"/>
      <c r="V10" s="96"/>
      <c r="W10" s="96"/>
      <c r="X10" s="96"/>
      <c r="Y10" s="97"/>
    </row>
    <row r="11" spans="1:25" ht="20.100000000000001" customHeight="1" x14ac:dyDescent="0.8">
      <c r="A11" s="16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6" t="s">
        <v>134</v>
      </c>
      <c r="E11" s="117">
        <f>E10/B10</f>
        <v>28.44</v>
      </c>
      <c r="F11" s="118"/>
      <c r="G11" s="16" t="s">
        <v>14</v>
      </c>
      <c r="H11" s="117">
        <f>H10/B10</f>
        <v>324.00000000000006</v>
      </c>
      <c r="I11" s="118"/>
      <c r="J11" s="16" t="s">
        <v>49</v>
      </c>
      <c r="K11" s="94" t="s">
        <v>43</v>
      </c>
      <c r="L11" s="95"/>
      <c r="M11" s="30"/>
      <c r="N11" s="17"/>
      <c r="O11" s="103" t="str">
        <f>IF(O10="NONE","","V")</f>
        <v>V</v>
      </c>
      <c r="P11" s="106"/>
      <c r="Q11" s="17"/>
      <c r="R11" s="103" t="str">
        <f>IF(R10="None","","P")</f>
        <v/>
      </c>
      <c r="S11" s="103"/>
      <c r="T11" s="17"/>
      <c r="U11" s="98"/>
      <c r="V11" s="98"/>
      <c r="W11" s="98"/>
      <c r="X11" s="98"/>
      <c r="Y11" s="99"/>
    </row>
    <row r="12" spans="1:25" ht="20.100000000000001" customHeight="1" x14ac:dyDescent="0.75">
      <c r="A12" s="87" t="s">
        <v>12</v>
      </c>
      <c r="B12" s="88"/>
      <c r="C12" s="88"/>
      <c r="D12" s="88"/>
      <c r="E12" s="91"/>
      <c r="F12" s="91"/>
      <c r="G12" s="91"/>
      <c r="H12" s="91"/>
      <c r="I12" s="91"/>
      <c r="J12" s="91"/>
      <c r="K12" s="91"/>
      <c r="L12" s="92"/>
      <c r="M12" s="30"/>
      <c r="N12" s="147" t="s">
        <v>70</v>
      </c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9"/>
    </row>
    <row r="13" spans="1:25" ht="20.100000000000001" customHeight="1" x14ac:dyDescent="0.8">
      <c r="A13" s="16" t="s">
        <v>67</v>
      </c>
      <c r="B13" s="94" t="s">
        <v>43</v>
      </c>
      <c r="C13" s="94"/>
      <c r="D13" s="95"/>
      <c r="E13" s="24" t="s">
        <v>60</v>
      </c>
      <c r="F13" s="94" t="s">
        <v>43</v>
      </c>
      <c r="G13" s="94"/>
      <c r="H13" s="95"/>
      <c r="I13" s="16" t="s">
        <v>61</v>
      </c>
      <c r="J13" s="94" t="s">
        <v>43</v>
      </c>
      <c r="K13" s="94"/>
      <c r="L13" s="95"/>
      <c r="M13" s="30"/>
      <c r="N13" s="16" t="s">
        <v>71</v>
      </c>
      <c r="O13" s="32" t="s">
        <v>76</v>
      </c>
      <c r="P13" s="16" t="s">
        <v>72</v>
      </c>
      <c r="Q13" s="25">
        <f>O7</f>
        <v>6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00000000000001" customHeight="1" x14ac:dyDescent="0.9">
      <c r="A14" s="17" t="s">
        <v>59</v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4"/>
      <c r="M14" s="30"/>
      <c r="N14" s="153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00000000000001" customHeight="1" x14ac:dyDescent="0.75">
      <c r="A15" s="90" t="s">
        <v>181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2"/>
      <c r="M15" s="30"/>
      <c r="N15" s="76" t="s">
        <v>107</v>
      </c>
      <c r="O15" s="79"/>
      <c r="P15" s="77"/>
      <c r="Q15" s="76" t="s">
        <v>106</v>
      </c>
      <c r="R15" s="79"/>
      <c r="S15" s="77"/>
      <c r="T15" s="76" t="s">
        <v>117</v>
      </c>
      <c r="U15" s="79"/>
      <c r="V15" s="77"/>
      <c r="W15" s="76" t="s">
        <v>116</v>
      </c>
      <c r="X15" s="79"/>
      <c r="Y15" s="77"/>
    </row>
    <row r="16" spans="1:25" ht="20.100000000000001" customHeight="1" x14ac:dyDescent="0.8">
      <c r="A16" s="76" t="s">
        <v>2</v>
      </c>
      <c r="B16" s="77"/>
      <c r="C16" s="76" t="s">
        <v>141</v>
      </c>
      <c r="D16" s="77"/>
      <c r="E16" s="76" t="s">
        <v>3</v>
      </c>
      <c r="F16" s="77"/>
      <c r="G16" s="76" t="s">
        <v>4</v>
      </c>
      <c r="H16" s="77"/>
      <c r="I16" s="76" t="s">
        <v>10</v>
      </c>
      <c r="J16" s="77"/>
      <c r="K16" s="79" t="s">
        <v>11</v>
      </c>
      <c r="L16" s="77"/>
      <c r="M16" s="30"/>
      <c r="N16" s="16" t="s">
        <v>27</v>
      </c>
      <c r="O16" s="94"/>
      <c r="P16" s="95"/>
      <c r="Q16" s="16" t="s">
        <v>104</v>
      </c>
      <c r="R16" s="94" t="s">
        <v>30</v>
      </c>
      <c r="S16" s="95"/>
      <c r="T16" s="16" t="s">
        <v>102</v>
      </c>
      <c r="U16" s="94" t="s">
        <v>30</v>
      </c>
      <c r="V16" s="95"/>
      <c r="W16" s="16" t="str">
        <f>IF(ISNUMBER(SEARCH("bag",O8,1)),"Total Bags","Total Sheets")</f>
        <v>Total Bags</v>
      </c>
      <c r="X16" s="151"/>
      <c r="Y16" s="152"/>
    </row>
    <row r="17" spans="1:25" ht="20.100000000000001" customHeight="1" x14ac:dyDescent="0.8">
      <c r="A17" s="78" t="s">
        <v>5</v>
      </c>
      <c r="B17" s="78"/>
      <c r="C17" s="80" t="s">
        <v>146</v>
      </c>
      <c r="D17" s="81"/>
      <c r="E17" s="85"/>
      <c r="F17" s="86"/>
      <c r="G17" s="34" t="s">
        <v>80</v>
      </c>
      <c r="H17" s="35"/>
      <c r="I17" s="62"/>
      <c r="J17" s="63"/>
      <c r="K17" s="62"/>
      <c r="L17" s="63"/>
      <c r="M17" s="30"/>
      <c r="N17" s="16" t="s">
        <v>25</v>
      </c>
      <c r="O17" s="94"/>
      <c r="P17" s="95"/>
      <c r="Q17" s="16" t="s">
        <v>103</v>
      </c>
      <c r="R17" s="94" t="s">
        <v>30</v>
      </c>
      <c r="S17" s="95"/>
      <c r="T17" s="26" t="str">
        <f>IF(ISNUMBER(SEARCH("roll",O8,1)),"Part Rolls","Part Ctns")</f>
        <v>Part Rolls</v>
      </c>
      <c r="U17" s="94" t="s">
        <v>30</v>
      </c>
      <c r="V17" s="95"/>
      <c r="W17" s="16" t="str">
        <f>IF(ISNUMBER(SEARCH("roll",O8,1)),"Total Rolls","Total Ctns")</f>
        <v>Total Rolls</v>
      </c>
      <c r="X17" s="151"/>
      <c r="Y17" s="152"/>
    </row>
    <row r="18" spans="1:25" ht="20.100000000000001" customHeight="1" x14ac:dyDescent="0.8">
      <c r="A18" s="78" t="s">
        <v>6</v>
      </c>
      <c r="B18" s="78"/>
      <c r="C18" s="80" t="s">
        <v>145</v>
      </c>
      <c r="D18" s="81"/>
      <c r="E18" s="85"/>
      <c r="F18" s="86"/>
      <c r="G18" s="34" t="s">
        <v>81</v>
      </c>
      <c r="H18" s="35"/>
      <c r="I18" s="62"/>
      <c r="J18" s="63"/>
      <c r="K18" s="62"/>
      <c r="L18" s="63"/>
      <c r="M18" s="30"/>
      <c r="N18" s="16" t="s">
        <v>100</v>
      </c>
      <c r="O18" s="94"/>
      <c r="P18" s="95"/>
      <c r="Q18" s="16" t="s">
        <v>105</v>
      </c>
      <c r="R18" s="94" t="s">
        <v>30</v>
      </c>
      <c r="S18" s="95"/>
      <c r="T18" s="1" t="s">
        <v>26</v>
      </c>
      <c r="U18" s="94" t="s">
        <v>35</v>
      </c>
      <c r="V18" s="95"/>
      <c r="W18" s="16" t="s">
        <v>108</v>
      </c>
      <c r="X18" s="151"/>
      <c r="Y18" s="152"/>
    </row>
    <row r="19" spans="1:25" ht="20.100000000000001" customHeight="1" x14ac:dyDescent="0.75">
      <c r="A19" s="78" t="s">
        <v>7</v>
      </c>
      <c r="B19" s="78"/>
      <c r="C19" s="80" t="s">
        <v>144</v>
      </c>
      <c r="D19" s="81"/>
      <c r="E19" s="85"/>
      <c r="F19" s="86"/>
      <c r="G19" s="34" t="s">
        <v>82</v>
      </c>
      <c r="H19" s="35"/>
      <c r="I19" s="62"/>
      <c r="J19" s="63"/>
      <c r="K19" s="62"/>
      <c r="L19" s="63"/>
      <c r="M19" s="30"/>
      <c r="N19" s="64" t="s">
        <v>115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100000000000001" customHeight="1" x14ac:dyDescent="0.75">
      <c r="A20" s="78" t="s">
        <v>8</v>
      </c>
      <c r="B20" s="78"/>
      <c r="C20" s="80" t="s">
        <v>143</v>
      </c>
      <c r="D20" s="81"/>
      <c r="E20" s="85"/>
      <c r="F20" s="86"/>
      <c r="G20" s="34" t="s">
        <v>83</v>
      </c>
      <c r="H20" s="35"/>
      <c r="I20" s="62"/>
      <c r="J20" s="63"/>
      <c r="K20" s="62"/>
      <c r="L20" s="63"/>
      <c r="M20" s="30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9"/>
    </row>
    <row r="21" spans="1:25" ht="20.100000000000001" customHeight="1" x14ac:dyDescent="0.75">
      <c r="A21" s="78" t="s">
        <v>9</v>
      </c>
      <c r="B21" s="78"/>
      <c r="C21" s="80" t="s">
        <v>142</v>
      </c>
      <c r="D21" s="81"/>
      <c r="E21" s="85"/>
      <c r="F21" s="86"/>
      <c r="G21" s="34" t="s">
        <v>84</v>
      </c>
      <c r="H21" s="35"/>
      <c r="I21" s="62"/>
      <c r="J21" s="63"/>
      <c r="K21" s="62"/>
      <c r="L21" s="63"/>
      <c r="M21" s="30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9"/>
    </row>
    <row r="22" spans="1:25" ht="20.100000000000001" customHeight="1" x14ac:dyDescent="0.75">
      <c r="A22" s="78" t="str">
        <f>(IF(B7="NATURAL","",B7))</f>
        <v/>
      </c>
      <c r="B22" s="78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1"/>
      <c r="E22" s="85"/>
      <c r="F22" s="86"/>
      <c r="G22" s="34" t="s">
        <v>85</v>
      </c>
      <c r="H22" s="35"/>
      <c r="I22" s="62"/>
      <c r="J22" s="63"/>
      <c r="K22" s="62"/>
      <c r="L22" s="63"/>
      <c r="M22" s="30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2"/>
    </row>
    <row r="23" spans="1:25" ht="20.100000000000001" customHeight="1" x14ac:dyDescent="0.75">
      <c r="A23" s="82"/>
      <c r="B23" s="82"/>
      <c r="C23" s="8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1"/>
      <c r="E23" s="85"/>
      <c r="F23" s="86"/>
      <c r="G23" s="34" t="s">
        <v>86</v>
      </c>
      <c r="H23" s="35"/>
      <c r="I23" s="62"/>
      <c r="J23" s="63"/>
      <c r="K23" s="62"/>
      <c r="L23" s="63"/>
      <c r="M23" s="30"/>
      <c r="N23" s="153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00000000000001" customHeight="1" x14ac:dyDescent="0.75">
      <c r="A24" s="83"/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1"/>
      <c r="E24" s="85"/>
      <c r="F24" s="86"/>
      <c r="G24" s="34" t="s">
        <v>87</v>
      </c>
      <c r="H24" s="35"/>
      <c r="I24" s="62"/>
      <c r="J24" s="63"/>
      <c r="K24" s="62"/>
      <c r="L24" s="63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00000000000001" customHeight="1" x14ac:dyDescent="0.75">
      <c r="A25" s="90" t="s">
        <v>0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30"/>
      <c r="N25" s="14" t="s">
        <v>95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7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154" t="s">
        <v>131</v>
      </c>
      <c r="H26" s="154"/>
      <c r="I26" s="154" t="s">
        <v>130</v>
      </c>
      <c r="J26" s="154"/>
      <c r="K26" s="11" t="s">
        <v>93</v>
      </c>
      <c r="L26" s="11" t="s">
        <v>94</v>
      </c>
      <c r="M26" s="30"/>
      <c r="N26" s="90" t="s">
        <v>136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2"/>
    </row>
    <row r="27" spans="1:25" ht="20.100000000000001" customHeight="1" x14ac:dyDescent="0.75">
      <c r="A27" s="14" t="s">
        <v>95</v>
      </c>
      <c r="B27" s="7"/>
      <c r="C27" s="7"/>
      <c r="D27" s="7"/>
      <c r="E27" s="8"/>
      <c r="F27" s="7"/>
      <c r="G27" s="61"/>
      <c r="H27" s="61"/>
      <c r="I27" s="61"/>
      <c r="J27" s="61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00000000000001" customHeight="1" x14ac:dyDescent="0.75">
      <c r="A28" s="14" t="s">
        <v>96</v>
      </c>
      <c r="B28" s="7"/>
      <c r="C28" s="7"/>
      <c r="D28" s="7"/>
      <c r="E28" s="9"/>
      <c r="F28" s="7"/>
      <c r="G28" s="61"/>
      <c r="H28" s="61"/>
      <c r="I28" s="61"/>
      <c r="J28" s="61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00000000000001" customHeight="1" x14ac:dyDescent="0.75">
      <c r="A29" s="87" t="s">
        <v>98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00000000000001" customHeight="1" x14ac:dyDescent="0.7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00000000000001" customHeight="1" x14ac:dyDescent="0.7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00000000000001" customHeight="1" x14ac:dyDescent="0.7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00000000000001" customHeight="1" x14ac:dyDescent="0.75">
      <c r="A33" s="64" t="s">
        <v>115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00000000000001" customHeight="1" x14ac:dyDescent="0.7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00000000000001" customHeight="1" x14ac:dyDescent="0.7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00000000000001" customHeight="1" x14ac:dyDescent="0.75">
      <c r="A36" s="73" t="s">
        <v>135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00000000000001" customHeight="1" x14ac:dyDescent="0.7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00000000000001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00000000000001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00000000000001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00000000000001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00000000000001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00000000000001" customHeight="1" x14ac:dyDescent="0.75">
      <c r="N43" s="52"/>
    </row>
    <row r="44" spans="1:25" ht="20.100000000000001" customHeight="1" x14ac:dyDescent="0.7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00000000000001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00000000000001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00000000000001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00000000000001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00000000000001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00000000000001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00000000000001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00000000000001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00000000000001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00000000000001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00000000000001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00000000000001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00000000000001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00000000000001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00000000000001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00000000000001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00000000000001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00000000000001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00000000000001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00000000000001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00000000000001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00000000000001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00000000000001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00000000000001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00000000000001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00000000000001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00000000000001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00000000000001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00000000000001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00000000000001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00000000000001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00000000000001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00000000000001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00000000000001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00000000000001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00000000000001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00000000000001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00000000000001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00000000000001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00000000000001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00000000000001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2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316406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>
        <f ca="1">DATE(YEAR(Sheet1!J1),MONTH(Sheet1!J1)+1,DAY(Sheet1!J1))</f>
        <v>45463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>
        <f ca="1">DATE(YEAR(Sheet1!J1),MONTH(Sheet1!J1),DAY(Sheet1!J1)+21)</f>
        <v>45453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7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7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7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7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7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7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7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7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7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7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7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7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7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7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7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7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7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7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7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7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7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7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7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7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7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7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7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7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7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7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7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7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7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7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7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75">
      <c r="A59" s="59" t="s">
        <v>147</v>
      </c>
    </row>
    <row r="60" spans="1:20" x14ac:dyDescent="0.75">
      <c r="A60" s="59" t="s">
        <v>148</v>
      </c>
      <c r="O60" s="1"/>
      <c r="Q60" s="1"/>
      <c r="R60" s="3"/>
      <c r="S60" s="1"/>
    </row>
    <row r="61" spans="1:20" x14ac:dyDescent="0.75">
      <c r="A61" s="59" t="s">
        <v>149</v>
      </c>
      <c r="O61" s="1"/>
      <c r="Q61" s="1"/>
      <c r="R61" s="1"/>
      <c r="S61" s="1"/>
    </row>
    <row r="62" spans="1:20" x14ac:dyDescent="0.75">
      <c r="A62" s="59" t="s">
        <v>150</v>
      </c>
      <c r="O62" s="1"/>
      <c r="Q62" s="1"/>
      <c r="R62" s="1"/>
      <c r="S62" s="1"/>
    </row>
    <row r="63" spans="1:20" x14ac:dyDescent="0.75">
      <c r="A63" s="59" t="s">
        <v>151</v>
      </c>
      <c r="O63" s="1"/>
      <c r="Q63" s="1"/>
      <c r="R63" s="1"/>
      <c r="S63" s="1"/>
      <c r="T63" s="1"/>
    </row>
    <row r="64" spans="1:20" x14ac:dyDescent="0.75">
      <c r="A64" s="59" t="s">
        <v>152</v>
      </c>
      <c r="O64" s="1"/>
      <c r="Q64" s="1"/>
      <c r="R64" s="1"/>
      <c r="S64" s="1"/>
      <c r="T64" s="1"/>
    </row>
    <row r="65" spans="1:20" x14ac:dyDescent="0.7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7F2E0DD-AB4E-4612-A9CF-9BB09E801C0A}"/>
</file>

<file path=customXml/itemProps2.xml><?xml version="1.0" encoding="utf-8"?>
<ds:datastoreItem xmlns:ds="http://schemas.openxmlformats.org/officeDocument/2006/customXml" ds:itemID="{1E6FDF03-5866-4510-9E0D-4E06C5C2ACC0}"/>
</file>

<file path=customXml/itemProps3.xml><?xml version="1.0" encoding="utf-8"?>
<ds:datastoreItem xmlns:ds="http://schemas.openxmlformats.org/officeDocument/2006/customXml" ds:itemID="{36AA5F44-709E-43A3-81BD-756A21B6C3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2024-05-20T01:29:43Z</cp:lastPrinted>
  <dcterms:created xsi:type="dcterms:W3CDTF">2019-11-27T23:28:06Z</dcterms:created>
  <dcterms:modified xsi:type="dcterms:W3CDTF">2024-05-22T00:01:34Z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