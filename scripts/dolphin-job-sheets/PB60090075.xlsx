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12BC8ED-7423-46F1-AC7E-F9DB3E3B77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<sst xmlns="http://schemas.openxmlformats.org/spreadsheetml/2006/main" count="305" uniqueCount="200">
  <si>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</si>
  <si>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</si>
  <si>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</si>
  <si>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</si>
  <si>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</si>
  <si>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</si>
  <si>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</si>
  <si>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</si>
  <si>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</si>
  <si>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</si>
  <si>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</si>
  <si>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</si>
  <si>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</si>
  <si>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</si>
  <si>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</si>
  <si>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</si>
  <si>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</si>
  <si>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</si>
  <si>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</si>
  <si>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</si>
  <si>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</si>
  <si>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</si>
  <si>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</si>
  <si>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</si>
  <si>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</si>
  <si>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</si>
  <si>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</si>
  <si>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</si>
  <si>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</si>
  <si>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</si>
  <si>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</si>
  <si>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</si>
  <si>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</si>
  <si>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</si>
  <si>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</si>
  <si>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</si>
  <si>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</si>
  <si>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</si>
  <si>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</si>
  <si>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</si>
  <si>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</si>
  <si>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</si>
  <si>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</si>
  <si>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</si>
  <si>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</si>
  <si>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</si>
  <si>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</si>
  <si>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</si>
  <si>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</si>
  <si>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</si>
  <si>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</si>
  <si>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</si>
  <si>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</si>
  <si>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</si>
  <si>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</si>
  <si>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</si>
  <si>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</si>
  <si>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</si>
  <si>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</si>
  <si>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</si>
  <si>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</si>
  <si>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</si>
  <si>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</si>
  <si>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</si>
  <si>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</si>
  <si>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</si>
  <si>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</si>
  <si>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</si>
  <si>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</si>
  <si>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</si>
  <si>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</si>
  <si>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</si>
  <si>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</si>
  <si>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</si>
  <si>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</si>
  <si>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</si>
  <si>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</si>
  <si>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</si>
  <si>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</si>
  <si>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</si>
  <si>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</si>
  <si>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</si>
  <si>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</si>
  <si>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</si>
  <si>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</si>
  <si>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</si>
  <si>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</si>
  <si>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</si>
  <si>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</si>
  <si>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</si>
  <si>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</si>
  <si>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</si>
  <si>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</si>
  <si>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</si>
  <si>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</si>
  <si>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</si>
  <si>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</si>
  <si>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</si>
  <si>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</si>
  <si>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</si>
  <si>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</si>
  <si>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</si>
  <si>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</si>
  <si>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</si>
  <si>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</si>
  <si>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</si>
  <si>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</si>
  <si>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</si>
  <si>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</si>
  <si>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</si>
  <si>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</si>
  <si>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</si>
  <si>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</si>
  <si>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</si>
  <si>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</si>
  <si>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</si>
  <si>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</si>
  <si>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</si>
  <si>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</si>
  <si>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</si>
  <si>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</si>
  <si>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</si>
  <si>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</si>
  <si>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</si>
  <si>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</si>
  <si>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</si>
  <si>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</si>
  <si>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</si>
  <si>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</si>
  <si>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</si>
  <si>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</si>
  <si>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</si>
  <si>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</si>
  <si>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</si>
  <si>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</si>
  <si>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</si>
  <si>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</si>
  <si>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</si>
  <si>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</si>
  <si>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</si>
  <si>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</si>
  <si>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</si>
  <si>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</si>
  <si>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</si>
  <si>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</si>
  <si>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</si>
  <si>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</si>
  <si>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</si>
  <si>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</si>
  <si>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</si>
  <si>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</si>
  <si>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</si>
  <si>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</si>
  <si>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</si>
  <si>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</si>
  <si>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</si>
  <si>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</si>
  <si>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</si>
  <si>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</si>
  <si>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</si>
  <si>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</si>
  <si>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</si>
  <si>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</si>
  <si>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</si>
  <si>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</si>
  <si>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</si>
  <si>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</si>
  <si>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</si>
  <si>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</si>
  <si>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</si>
  <si>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</si>
  <si>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</si>
  <si>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</si>
  <si>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</si>
  <si>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</si>
  <si>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</si>
  <si>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</si>
  <si>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</si>
  <si>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</si>
  <si>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</si>
  <si>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</si>
  <si>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</si>
  <si>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</si>
  <si>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</si>
  <si>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</si>
  <si>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</si>
  <si>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</si>
  <si>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</si>
  <si>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</si>
  <si>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</si>
  <si>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</si>
  <si>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</si>
  <si>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</si>
  <si>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</si>
  <si>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LIMAX</t>
  </si>
  <si>
    <t>RUN AT 140um</t>
  </si>
  <si>
    <t xml:space="preserve"> +/- 10mm</t>
  </si>
  <si>
    <t>20.12.2021</t>
  </si>
  <si>
    <t xml:space="preserve">NEW CUSTOMER &amp; NEW ITEM PLEASE ENSURE NO CREASING AND GOOD SEALS - FOOD GRADE </t>
  </si>
  <si>
    <t>ATP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</si>
</sst>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D15" sqref="AD1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PB60090075</v>
      </c>
      <c r="C1" s="123"/>
      <c r="D1" s="124"/>
      <c r="E1" s="12" t="s">
        <v>57</v>
      </c>
      <c r="F1" s="134" t="s">
        <v>199</v>
      </c>
      <c r="G1" s="135"/>
      <c r="H1" s="136"/>
      <c r="I1" s="13" t="s">
        <v>181</v>
      </c>
      <c r="J1" s="137">
        <f ca="1">TODAY()</f>
        <v>44510</v>
      </c>
      <c r="K1" s="137"/>
      <c r="L1" s="138"/>
      <c r="M1" s="34"/>
      <c r="N1" s="12" t="s">
        <v>56</v>
      </c>
      <c r="O1" s="123" t="str">
        <f>B1</f>
        <v>PB60090075</v>
      </c>
      <c r="P1" s="123"/>
      <c r="Q1" s="124"/>
      <c r="R1" s="12" t="s">
        <v>57</v>
      </c>
      <c r="S1" s="123" t="str">
        <f>F1</f>
        <v>ATP SCIENCE</v>
      </c>
      <c r="T1" s="123"/>
      <c r="U1" s="124"/>
      <c r="V1" s="12" t="s">
        <v>181</v>
      </c>
      <c r="W1" s="137">
        <f ca="1">J1</f>
        <v>44510</v>
      </c>
      <c r="X1" s="137"/>
      <c r="Y1" s="138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941879</v>
      </c>
      <c r="G2" s="73"/>
      <c r="H2" s="74"/>
      <c r="I2" s="12" t="s">
        <v>59</v>
      </c>
      <c r="J2" s="140" t="s">
        <v>197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941879</v>
      </c>
      <c r="T2" s="123"/>
      <c r="U2" s="124"/>
      <c r="V2" s="12" t="s">
        <v>59</v>
      </c>
      <c r="W2" s="139" t="str">
        <f>J2</f>
        <v>20.12.2021</v>
      </c>
      <c r="X2" s="123"/>
      <c r="Y2" s="124"/>
    </row>
    <row r="3" spans="1:28" ht="20.100000000000001" customHeight="1" x14ac:dyDescent="0.25">
      <c r="A3" s="125" t="s">
        <v>198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 xml:space="preserve">NEW CUSTOMER &amp; NEW ITEM PLEASE ENSURE NO CREASING AND GOOD SEALS - FOOD GRADE 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2" t="s">
        <v>2</v>
      </c>
      <c r="B6" s="143"/>
      <c r="C6" s="143"/>
      <c r="D6" s="143"/>
      <c r="E6" s="143"/>
      <c r="F6" s="143"/>
      <c r="G6" s="143"/>
      <c r="H6" s="143"/>
      <c r="I6" s="14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5</v>
      </c>
      <c r="P7" s="74"/>
      <c r="Q7" s="12" t="str">
        <f>IF(ISNUMBER(SEARCH("roll",O8,1)),"Per Roll","Per Carton")</f>
        <v>Per Carton</v>
      </c>
      <c r="R7" s="73">
        <v>150</v>
      </c>
      <c r="S7" s="74"/>
      <c r="T7" s="12" t="str">
        <f>IF(ISNUMBER(SEARCH("bag",O8,1)),"Total Bags","Total Sheets")</f>
        <v>Total Bags</v>
      </c>
      <c r="U7" s="123">
        <f>R7*O7</f>
        <v>750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600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75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4" t="s">
        <v>196</v>
      </c>
      <c r="C9" s="145"/>
      <c r="D9" s="152" t="str">
        <f>IF(K10="Middle","RUN 2 UP",IF(AND(O8="Centrefold Roll",B8=380),"RUN 2 UP",""))</f>
        <v/>
      </c>
      <c r="E9" s="115"/>
      <c r="F9" s="116"/>
      <c r="G9" s="18" t="s">
        <v>48</v>
      </c>
      <c r="H9" s="144" t="s">
        <v>195</v>
      </c>
      <c r="I9" s="145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600</v>
      </c>
      <c r="S9" s="20" t="s">
        <v>78</v>
      </c>
      <c r="T9" s="35">
        <v>900</v>
      </c>
      <c r="U9" s="20" t="s">
        <v>78</v>
      </c>
      <c r="V9" s="35">
        <v>75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2</v>
      </c>
      <c r="C10" s="74"/>
      <c r="D10" s="54" t="s">
        <v>134</v>
      </c>
      <c r="E10" s="146">
        <f>IF(ISNUMBER(SEARCH("sheet",O8,1)),((R9*T9*H8/540000)*U7/2000*1.3),((R9*T9*H8/540000)*U7/1000*1.08))</f>
        <v>60.750000000000007</v>
      </c>
      <c r="F10" s="147"/>
      <c r="G10" s="12" t="s">
        <v>53</v>
      </c>
      <c r="H10" s="150">
        <f>IF(ISNUMBER(SEARCH("sheet",O8,1)),(U7*T9/2000*1.08),(U7*T9/1000*1.08))</f>
        <v>729</v>
      </c>
      <c r="I10" s="151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8">
        <f>E10/B10</f>
        <v>30.375000000000004</v>
      </c>
      <c r="F11" s="149"/>
      <c r="G11" s="12" t="s">
        <v>15</v>
      </c>
      <c r="H11" s="148">
        <f>H10/B10</f>
        <v>364.5</v>
      </c>
      <c r="I11" s="149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25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5" t="s">
        <v>4</v>
      </c>
      <c r="F16" s="165"/>
      <c r="G16" s="165" t="s">
        <v>5</v>
      </c>
      <c r="H16" s="16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23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6"/>
      <c r="B23" s="16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7"/>
      <c r="B24" s="16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194</v>
      </c>
      <c r="P25" s="39"/>
      <c r="Q25" s="10">
        <v>22</v>
      </c>
      <c r="R25" s="10"/>
      <c r="S25" s="10"/>
      <c r="T25" s="10"/>
      <c r="U25" s="10"/>
      <c r="V25" s="10"/>
      <c r="W25" s="10">
        <v>18</v>
      </c>
      <c r="X25" s="10">
        <v>14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3" t="s">
        <v>116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5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8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1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2" t="s">
        <v>136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44540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44531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E0A5030-616F-4A3E-B4CD-FE3F687D317A}"/>
</file>

<file path=customXml/itemProps2.xml><?xml version="1.0" encoding="utf-8"?>
<ds:datastoreItem xmlns:ds="http://schemas.openxmlformats.org/officeDocument/2006/customXml" ds:itemID="{8EC024F1-3170-4582-8A41-E2D1079404F6}"/>
</file>

<file path=customXml/itemProps3.xml><?xml version="1.0" encoding="utf-8"?>
<ds:datastoreItem xmlns:ds="http://schemas.openxmlformats.org/officeDocument/2006/customXml" ds:itemID="{B7E39752-75F9-4ED2-933A-8B59A5A08D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2021-11-10T00:46:11Z</cp:lastPrinted>
  <dcterms:created xsi:type="dcterms:W3CDTF">2019-11-27T23:28:06Z</dcterms:created>
  <dcterms:modified xsi:type="dcterms:W3CDTF">2021-11-10T00:50:14Z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