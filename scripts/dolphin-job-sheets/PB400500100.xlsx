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89C0F609-6AF4-49DA-AA5E-76A380CEE54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<sst xmlns="http://schemas.openxmlformats.org/spreadsheetml/2006/main" count="303" uniqueCount="198">
  <si>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</si>
  <si>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</si>
  <si>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</si>
  <si>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</si>
  <si>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</si>
  <si>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</si>
  <si>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</si>
  <si>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</si>
  <si>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</si>
  <si>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</si>
  <si>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</si>
  <si>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</si>
  <si>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</si>
  <si>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</si>
  <si>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</si>
  <si>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</si>
  <si>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</si>
  <si>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</si>
  <si>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</si>
  <si>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</si>
  <si>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</si>
  <si>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</si>
  <si>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</si>
  <si>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</si>
  <si>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</si>
  <si>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</si>
  <si>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</si>
  <si>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</si>
  <si>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</si>
  <si>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</si>
  <si>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</si>
  <si>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</si>
  <si>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</si>
  <si>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</si>
  <si>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</si>
  <si>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</si>
  <si>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</si>
  <si>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</si>
  <si>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</si>
  <si>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</si>
  <si>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</si>
  <si>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</si>
  <si>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</si>
  <si>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</si>
  <si>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</si>
  <si>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</si>
  <si>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</si>
  <si>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</si>
  <si>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</si>
  <si>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</si>
  <si>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</si>
  <si>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</si>
  <si>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</si>
  <si>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</si>
  <si>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</si>
  <si>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</si>
  <si>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</si>
  <si>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</si>
  <si>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</si>
  <si>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</si>
  <si>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</si>
  <si>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</si>
  <si>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</si>
  <si>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</si>
  <si>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</si>
  <si>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</si>
  <si>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</si>
  <si>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</si>
  <si>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</si>
  <si>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</si>
  <si>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</si>
  <si>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</si>
  <si>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</si>
  <si>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</si>
  <si>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</si>
  <si>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</si>
  <si>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</si>
  <si>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</si>
  <si>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</si>
  <si>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</si>
  <si>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</si>
  <si>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</si>
  <si>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</si>
  <si>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</si>
  <si>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</si>
  <si>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</si>
  <si>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</si>
  <si>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</si>
  <si>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</si>
  <si>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</si>
  <si>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</si>
  <si>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</si>
  <si>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</si>
  <si>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</si>
  <si>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</si>
  <si>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</si>
  <si>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</si>
  <si>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</si>
  <si>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</si>
  <si>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</si>
  <si>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</si>
  <si>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</si>
  <si>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</si>
  <si>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</si>
  <si>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</si>
  <si>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</si>
  <si>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</si>
  <si>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</si>
  <si>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</si>
  <si>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</si>
  <si>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</si>
  <si>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</si>
  <si>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</si>
  <si>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</si>
  <si>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</si>
  <si>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</si>
  <si>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</si>
  <si>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</si>
  <si>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</si>
  <si>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</si>
  <si>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</si>
  <si>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</si>
  <si>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</si>
  <si>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</si>
  <si>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</si>
  <si>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</si>
  <si>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</si>
  <si>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</si>
  <si>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</si>
  <si>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</si>
  <si>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</si>
  <si>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</si>
  <si>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</si>
  <si>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</si>
  <si>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</si>
  <si>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</si>
  <si>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</si>
  <si>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</si>
  <si>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</si>
  <si>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</si>
  <si>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</si>
  <si>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</si>
  <si>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</si>
  <si>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</si>
  <si>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</si>
  <si>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</si>
  <si>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</si>
  <si>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</si>
  <si>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</si>
  <si>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</si>
  <si>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</si>
  <si>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</si>
  <si>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</si>
  <si>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</si>
  <si>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</si>
  <si>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</si>
  <si>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</si>
  <si>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</si>
  <si>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</si>
  <si>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</si>
  <si>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</si>
  <si>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</si>
  <si>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</si>
  <si>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</si>
  <si>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</si>
  <si>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</si>
  <si>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</si>
  <si>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</si>
  <si>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</si>
  <si>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</si>
  <si>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</si>
  <si>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</si>
  <si>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</si>
  <si>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</si>
  <si>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</si>
  <si>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</si>
  <si>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</si>
  <si>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</si>
  <si>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</si>
  <si>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</si>
  <si>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</si>
  <si>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</si>
  <si>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</si>
  <si>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</si>
  <si>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</si>
  <si>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</si>
  <si>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</si>
  <si>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</si>
  <si>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</si>
  <si>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</si>
  <si>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</si>
  <si>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</si>
  <si>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</si>
  <si>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</si>
  <si>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</si>
  <si>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</si>
  <si>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LIVE CORALS</t>
  </si>
  <si>
    <t>BAG MUST NOT BE OVER 100MM - LIVE FISH TRANSPORT - MUST HAVE WATERTIGHT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</si>
</sst>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5" borderId="4" xfId="0" applyFont="1" applyFill="1" applyBorder="1" applyProtection="1"/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PB400500100</v>
      </c>
      <c r="C1" s="123"/>
      <c r="D1" s="124"/>
      <c r="E1" s="12" t="s">
        <v>57</v>
      </c>
      <c r="F1" s="125" t="s">
        <v>196</v>
      </c>
      <c r="G1" s="125"/>
      <c r="H1" s="126"/>
      <c r="I1" s="13" t="s">
        <v>181</v>
      </c>
      <c r="J1" s="127">
        <f ca="1">TODAY()</f>
        <v>44250</v>
      </c>
      <c r="K1" s="127"/>
      <c r="L1" s="128"/>
      <c r="M1" s="34"/>
      <c r="N1" s="12" t="s">
        <v>56</v>
      </c>
      <c r="O1" s="123" t="str">
        <f>B1</f>
        <v>PB400500100</v>
      </c>
      <c r="P1" s="123"/>
      <c r="Q1" s="124"/>
      <c r="R1" s="12" t="s">
        <v>57</v>
      </c>
      <c r="S1" s="123" t="str">
        <f>F1</f>
        <v>LIVE CORALS</v>
      </c>
      <c r="T1" s="123"/>
      <c r="U1" s="124"/>
      <c r="V1" s="12" t="s">
        <v>181</v>
      </c>
      <c r="W1" s="127">
        <f ca="1">J1</f>
        <v>44250</v>
      </c>
      <c r="X1" s="127"/>
      <c r="Y1" s="12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939646</v>
      </c>
      <c r="G2" s="73"/>
      <c r="H2" s="74"/>
      <c r="I2" s="12" t="s">
        <v>59</v>
      </c>
      <c r="J2" s="130">
        <v>44278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939646</v>
      </c>
      <c r="T2" s="123"/>
      <c r="U2" s="124"/>
      <c r="V2" s="12" t="s">
        <v>59</v>
      </c>
      <c r="W2" s="129">
        <f>J2</f>
        <v>44278</v>
      </c>
      <c r="X2" s="123"/>
      <c r="Y2" s="124"/>
    </row>
    <row r="3" spans="1:28" ht="20.100000000000001" customHeight="1" x14ac:dyDescent="0.25">
      <c r="A3" s="150" t="s">
        <v>197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2"/>
      <c r="M3" s="34"/>
      <c r="N3" s="150" t="str">
        <f>A3</f>
        <v>BAG MUST NOT BE OVER 100MM - LIVE FISH TRANSPORT - MUST HAVE WATERTIGHT SEALS</v>
      </c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2"/>
    </row>
    <row r="4" spans="1:28" ht="20.100000000000001" customHeight="1" x14ac:dyDescent="0.25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5"/>
      <c r="M4" s="34"/>
      <c r="N4" s="153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5"/>
    </row>
    <row r="5" spans="1:28" ht="20.100000000000001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8"/>
      <c r="M5" s="34"/>
      <c r="N5" s="156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8"/>
    </row>
    <row r="6" spans="1:28" ht="20.100000000000001" customHeight="1" x14ac:dyDescent="0.25">
      <c r="A6" s="132" t="s">
        <v>2</v>
      </c>
      <c r="B6" s="133"/>
      <c r="C6" s="133"/>
      <c r="D6" s="133"/>
      <c r="E6" s="133"/>
      <c r="F6" s="133"/>
      <c r="G6" s="133"/>
      <c r="H6" s="133"/>
      <c r="I6" s="13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100</v>
      </c>
      <c r="S7" s="74"/>
      <c r="T7" s="12" t="str">
        <f>IF(ISNUMBER(SEARCH("bag",O8,1)),"Total Bags","Total Sheets")</f>
        <v>Total Bags</v>
      </c>
      <c r="U7" s="123">
        <f>R7*O7</f>
        <v>2000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400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34" t="s">
        <v>195</v>
      </c>
      <c r="C9" s="135"/>
      <c r="D9" s="142" t="str">
        <f>IF(K10="Middle","RUN 2 UP",IF(AND(O8="Centrefold Roll",B8=380),"RUN 2 UP",""))</f>
        <v/>
      </c>
      <c r="E9" s="115"/>
      <c r="F9" s="116"/>
      <c r="G9" s="18" t="s">
        <v>48</v>
      </c>
      <c r="H9" s="134" t="s">
        <v>194</v>
      </c>
      <c r="I9" s="13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400</v>
      </c>
      <c r="S9" s="20" t="s">
        <v>78</v>
      </c>
      <c r="T9" s="35">
        <v>500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3</v>
      </c>
      <c r="C10" s="74"/>
      <c r="D10" s="54" t="s">
        <v>134</v>
      </c>
      <c r="E10" s="136">
        <f>IF(ISNUMBER(SEARCH("sheet",O8,1)),((R9*T9*H8/540000)*U7/2000*1.3),((R9*T9*H8/540000)*U7/1000*1.08))</f>
        <v>80.000000000000014</v>
      </c>
      <c r="F10" s="137"/>
      <c r="G10" s="12" t="s">
        <v>53</v>
      </c>
      <c r="H10" s="140">
        <f>IF(ISNUMBER(SEARCH("sheet",O8,1)),(U7*T9/2000*1.08),(U7*T9/1000*1.08))</f>
        <v>1080</v>
      </c>
      <c r="I10" s="14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38">
        <f>E10/B10</f>
        <v>26.666666666666671</v>
      </c>
      <c r="F11" s="139"/>
      <c r="G11" s="12" t="s">
        <v>15</v>
      </c>
      <c r="H11" s="138">
        <f>H10/B10</f>
        <v>360</v>
      </c>
      <c r="I11" s="13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3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46" t="s">
        <v>4</v>
      </c>
      <c r="F16" s="146"/>
      <c r="G16" s="146" t="s">
        <v>5</v>
      </c>
      <c r="H16" s="14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59" t="s">
        <v>105</v>
      </c>
      <c r="R16" s="160" t="s">
        <v>31</v>
      </c>
      <c r="S16" s="161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59" t="s">
        <v>104</v>
      </c>
      <c r="R17" s="160" t="s">
        <v>31</v>
      </c>
      <c r="S17" s="161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47"/>
      <c r="B23" s="147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48"/>
      <c r="B24" s="149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44278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4EB674B-49CC-4B4B-8E7E-8CDA41003E02}"/>
</file>

<file path=customXml/itemProps2.xml><?xml version="1.0" encoding="utf-8"?>
<ds:datastoreItem xmlns:ds="http://schemas.openxmlformats.org/officeDocument/2006/customXml" ds:itemID="{B236DF3F-87DE-4CA9-81AE-471C17847E1C}"/>
</file>

<file path=customXml/itemProps3.xml><?xml version="1.0" encoding="utf-8"?>
<ds:datastoreItem xmlns:ds="http://schemas.openxmlformats.org/officeDocument/2006/customXml" ds:itemID="{D35C0A26-7D58-4A18-A803-9C526EE343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2021-02-23T01:08:18Z</cp:lastPrinted>
  <dcterms:created xsi:type="dcterms:W3CDTF">2019-11-27T23:28:06Z</dcterms:created>
  <dcterms:modified xsi:type="dcterms:W3CDTF">2021-02-23T03:16:43Z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