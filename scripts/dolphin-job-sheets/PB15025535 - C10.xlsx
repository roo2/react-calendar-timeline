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A39E7913-A39B-47B6-B835-C4FA726894AB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3" i="1" l="1"/>
  <c r="D8" i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<sst xmlns="http://schemas.openxmlformats.org/spreadsheetml/2006/main" count="306" uniqueCount="201">
  <si>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</si>
  <si>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</si>
  <si>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</si>
  <si>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</si>
  <si>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</si>
  <si>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</si>
  <si>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</si>
  <si>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</si>
  <si>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</si>
  <si>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</si>
  <si>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</si>
  <si>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</si>
  <si>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</si>
  <si>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</si>
  <si>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</si>
  <si>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</si>
  <si>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</si>
  <si>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</si>
  <si>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</si>
  <si>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</si>
  <si>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</si>
  <si>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</si>
  <si>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</si>
  <si>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</si>
  <si>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</si>
  <si>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</si>
  <si>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</si>
  <si>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</si>
  <si>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</si>
  <si>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</si>
  <si>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</si>
  <si>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</si>
  <si>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</si>
  <si>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</si>
  <si>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</si>
  <si>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</si>
  <si>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</si>
  <si>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</si>
  <si>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</si>
  <si>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</si>
  <si>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</si>
  <si>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</si>
  <si>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</si>
  <si>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</si>
  <si>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</si>
  <si>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</si>
  <si>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</si>
  <si>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</si>
  <si>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</si>
  <si>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</si>
  <si>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</si>
  <si>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</si>
  <si>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</si>
  <si>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</si>
  <si>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</si>
  <si>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</si>
  <si>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</si>
  <si>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</si>
  <si>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</si>
  <si>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</si>
  <si>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</si>
  <si>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</si>
  <si>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</si>
  <si>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</si>
  <si>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</si>
  <si>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</si>
  <si>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</si>
  <si>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</si>
  <si>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</si>
  <si>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</si>
  <si>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</si>
  <si>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</si>
  <si>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</si>
  <si>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</si>
  <si>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</si>
  <si>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</si>
  <si>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</si>
  <si>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</si>
  <si>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</si>
  <si>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</si>
  <si>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</si>
  <si>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</si>
  <si>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</si>
  <si>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</si>
  <si>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</si>
  <si>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</si>
  <si>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</si>
  <si>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</si>
  <si>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</si>
  <si>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</si>
  <si>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</si>
  <si>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</si>
  <si>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</si>
  <si>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</si>
  <si>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</si>
  <si>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</si>
  <si>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</si>
  <si>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</si>
  <si>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</si>
  <si>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</si>
  <si>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</si>
  <si>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</si>
  <si>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</si>
  <si>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</si>
  <si>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</si>
  <si>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</si>
  <si>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</si>
  <si>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</si>
  <si>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</si>
  <si>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</si>
  <si>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</si>
  <si>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</si>
  <si>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</si>
  <si>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</si>
  <si>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</si>
  <si>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</si>
  <si>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</si>
  <si>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</si>
  <si>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</si>
  <si>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</si>
  <si>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</si>
  <si>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</si>
  <si>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</si>
  <si>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</si>
  <si>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</si>
  <si>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</si>
  <si>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</si>
  <si>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</si>
  <si>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</si>
  <si>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</si>
  <si>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</si>
  <si>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</si>
  <si>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</si>
  <si>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</si>
  <si>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</si>
  <si>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</si>
  <si>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</si>
  <si>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</si>
  <si>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</si>
  <si>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</si>
  <si>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</si>
  <si>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</si>
  <si>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</si>
  <si>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</si>
  <si>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</si>
  <si>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</si>
  <si>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</si>
  <si>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</si>
  <si>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</si>
  <si>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</si>
  <si>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</si>
  <si>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</si>
  <si>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</si>
  <si>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</si>
  <si>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</si>
  <si>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</si>
  <si>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</si>
  <si>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</si>
  <si>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</si>
  <si>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</si>
  <si>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</si>
  <si>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</si>
  <si>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</si>
  <si>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</si>
  <si>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</si>
  <si>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</si>
  <si>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</si>
  <si>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</si>
  <si>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</si>
  <si>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</si>
  <si>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</si>
  <si>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</si>
  <si>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</si>
  <si>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</si>
  <si>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</si>
  <si>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</si>
  <si>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</si>
  <si>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</si>
  <si>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</si>
  <si>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</si>
  <si>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</si>
  <si>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</si>
  <si>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</si>
  <si>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</si>
  <si>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</si>
  <si>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</si>
  <si>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</si>
  <si>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</si>
  <si>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</si>
  <si>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</si>
  <si>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</si>
  <si>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</si>
  <si>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</si>
  <si>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</si>
  <si>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</si>
  <si>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RUN AT 32UM</t>
  </si>
  <si>
    <t>THE DECKSTORE</t>
  </si>
  <si>
    <t>C10</t>
  </si>
  <si>
    <t>ANTISTATIC</t>
  </si>
  <si>
    <t>ANTIBLOCK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</si>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</sst>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PB15025535AS0</v>
      </c>
      <c r="C1" s="111"/>
      <c r="D1" s="112"/>
      <c r="E1" s="11" t="s">
        <v>57</v>
      </c>
      <c r="F1" s="87" t="s">
        <v>196</v>
      </c>
      <c r="G1" s="87"/>
      <c r="H1" s="88"/>
      <c r="I1" s="12" t="s">
        <v>181</v>
      </c>
      <c r="J1" s="84">
        <f ca="1">TODAY()</f>
        <v>45898</v>
      </c>
      <c r="K1" s="84"/>
      <c r="L1" s="85"/>
      <c r="M1" s="29"/>
      <c r="N1" s="11" t="s">
        <v>56</v>
      </c>
      <c r="O1" s="111" t="str">
        <f>B1</f>
        <v>PB15025535AS0</v>
      </c>
      <c r="P1" s="111"/>
      <c r="Q1" s="112"/>
      <c r="R1" s="11" t="s">
        <v>57</v>
      </c>
      <c r="S1" s="111" t="str">
        <f>F1</f>
        <v>THE DECKSTORE</v>
      </c>
      <c r="T1" s="111"/>
      <c r="U1" s="112"/>
      <c r="V1" s="11" t="s">
        <v>181</v>
      </c>
      <c r="W1" s="84">
        <f ca="1">J1</f>
        <v>45898</v>
      </c>
      <c r="X1" s="84"/>
      <c r="Y1" s="85"/>
    </row>
    <row r="2" spans="1:25" ht="20.149999999999999" customHeight="1" x14ac:dyDescent="0.8">
      <c r="A2" s="11" t="s">
        <v>100</v>
      </c>
      <c r="B2" s="111" t="str">
        <f>IF(U10="","",U10)</f>
        <v>C10</v>
      </c>
      <c r="C2" s="111"/>
      <c r="D2" s="112"/>
      <c r="E2" s="11" t="s">
        <v>58</v>
      </c>
      <c r="F2" s="87">
        <v>950473</v>
      </c>
      <c r="G2" s="87"/>
      <c r="H2" s="88"/>
      <c r="I2" s="11" t="s">
        <v>59</v>
      </c>
      <c r="J2" s="86" t="s">
        <v>192</v>
      </c>
      <c r="K2" s="87"/>
      <c r="L2" s="88"/>
      <c r="M2" s="29"/>
      <c r="N2" s="11" t="s">
        <v>100</v>
      </c>
      <c r="O2" s="111" t="str">
        <f>IF(B2="","",B2)</f>
        <v>C10</v>
      </c>
      <c r="P2" s="111"/>
      <c r="Q2" s="112"/>
      <c r="R2" s="11" t="s">
        <v>58</v>
      </c>
      <c r="S2" s="111">
        <f>IF(F2="","",F2)</f>
        <v>950473</v>
      </c>
      <c r="T2" s="111"/>
      <c r="U2" s="112"/>
      <c r="V2" s="11" t="s">
        <v>59</v>
      </c>
      <c r="W2" s="122" t="str">
        <f>J2</f>
        <v>ASAP</v>
      </c>
      <c r="X2" s="111"/>
      <c r="Y2" s="112"/>
    </row>
    <row r="3" spans="1:25" ht="20.149999999999999" customHeight="1" x14ac:dyDescent="0.7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>
        <f>A3</f>
        <v>0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49999999999999" customHeight="1" x14ac:dyDescent="0.9">
      <c r="A7" s="11" t="s">
        <v>49</v>
      </c>
      <c r="B7" s="108" t="s">
        <v>163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25</v>
      </c>
      <c r="P7" s="88"/>
      <c r="Q7" s="11" t="str">
        <f>IF(ISNUMBER(SEARCH("roll",O8,1)),"Per Roll","Per Carton")</f>
        <v>Per Carton</v>
      </c>
      <c r="R7" s="87">
        <v>3000</v>
      </c>
      <c r="S7" s="88"/>
      <c r="T7" s="11" t="str">
        <f>IF(ISNUMBER(SEARCH("bag",O8,1)),"Total Bags","Total Sheets")</f>
        <v>Total Bags</v>
      </c>
      <c r="U7" s="111">
        <f>R7*O7</f>
        <v>75000</v>
      </c>
      <c r="V7" s="112"/>
      <c r="W7" s="11" t="s">
        <v>102</v>
      </c>
      <c r="X7" s="87" t="s">
        <v>31</v>
      </c>
      <c r="Y7" s="88"/>
    </row>
    <row r="8" spans="1:25" ht="20.149999999999999" customHeight="1" x14ac:dyDescent="0.8">
      <c r="A8" s="13" t="s">
        <v>16</v>
      </c>
      <c r="B8" s="89">
        <f>R9</f>
        <v>150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35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5" t="s">
        <v>164</v>
      </c>
      <c r="P8" s="126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3" t="str">
        <f>IF(AND(W8="Gusset",X9=""), "None",IF(AND(W8="Centrefold",X9=""),"None",IF(W8="Gusset","G",IF(W8="Centrefold","CF"))))</f>
        <v>None</v>
      </c>
      <c r="Y8" s="124"/>
    </row>
    <row r="9" spans="1:25" ht="20.149999999999999" customHeight="1" x14ac:dyDescent="0.9">
      <c r="A9" s="16" t="s">
        <v>48</v>
      </c>
      <c r="B9" s="99" t="s">
        <v>193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195</v>
      </c>
      <c r="I9" s="100"/>
      <c r="J9" s="11" t="s">
        <v>55</v>
      </c>
      <c r="K9" s="87" t="s">
        <v>30</v>
      </c>
      <c r="L9" s="88"/>
      <c r="M9" s="29"/>
      <c r="N9" s="17"/>
      <c r="O9" s="127" t="str">
        <f>IF(O8="Poly Bag","PB",IF(O8="Poly Bag Roll","PBR",IF(O8="Centrefold Roll","CFR",IF(O8="Sheet","S",IF(O8="Sheet Roll","SR")))))</f>
        <v>PB</v>
      </c>
      <c r="P9" s="128"/>
      <c r="Q9" s="17"/>
      <c r="R9" s="30">
        <v>150</v>
      </c>
      <c r="S9" s="18" t="s">
        <v>78</v>
      </c>
      <c r="T9" s="30">
        <v>255</v>
      </c>
      <c r="U9" s="18" t="s">
        <v>78</v>
      </c>
      <c r="V9" s="30">
        <v>35</v>
      </c>
      <c r="W9" s="17"/>
      <c r="X9" s="136"/>
      <c r="Y9" s="137"/>
    </row>
    <row r="10" spans="1:25" ht="20.149999999999999" customHeight="1" x14ac:dyDescent="0.8">
      <c r="A10" s="11" t="s">
        <v>51</v>
      </c>
      <c r="B10" s="87">
        <v>15</v>
      </c>
      <c r="C10" s="88"/>
      <c r="D10" s="47" t="s">
        <v>134</v>
      </c>
      <c r="E10" s="101">
        <f>IF(ISNUMBER(SEARCH("sheet",O8,1)),((R9*T9*H8/540000)*U7/2000*1.3),((R9*T9*H8/540000)*U7/1000*1.08))</f>
        <v>200.8125</v>
      </c>
      <c r="F10" s="102"/>
      <c r="G10" s="11" t="s">
        <v>53</v>
      </c>
      <c r="H10" s="105">
        <f>IF(ISNUMBER(SEARCH("sheet",O8,1)),(U7*T9/2000*1.08),(U7*T9/1000*1.08))</f>
        <v>20655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5" t="s">
        <v>44</v>
      </c>
      <c r="P10" s="126"/>
      <c r="Q10" s="14" t="s">
        <v>50</v>
      </c>
      <c r="R10" s="123" t="str">
        <f>IF(K11="NONE","None",IF(K11="INLINE","Yes",IF(K11="OUT OF LINE","Yes")))</f>
        <v>None</v>
      </c>
      <c r="S10" s="123"/>
      <c r="T10" s="14" t="s">
        <v>100</v>
      </c>
      <c r="U10" s="130" t="s">
        <v>197</v>
      </c>
      <c r="V10" s="130"/>
      <c r="W10" s="130"/>
      <c r="X10" s="130"/>
      <c r="Y10" s="131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13.387499999999999</v>
      </c>
      <c r="F11" s="104"/>
      <c r="G11" s="11" t="s">
        <v>15</v>
      </c>
      <c r="H11" s="103">
        <f>H10/B10</f>
        <v>1377</v>
      </c>
      <c r="I11" s="104"/>
      <c r="J11" s="11" t="s">
        <v>50</v>
      </c>
      <c r="K11" s="87" t="s">
        <v>44</v>
      </c>
      <c r="L11" s="88"/>
      <c r="M11" s="29"/>
      <c r="N11" s="13"/>
      <c r="O11" s="89" t="str">
        <f>IF(O10="NONE","","V")</f>
        <v/>
      </c>
      <c r="P11" s="90"/>
      <c r="Q11" s="13"/>
      <c r="R11" s="89" t="str">
        <f>IF(R10="None","","P")</f>
        <v/>
      </c>
      <c r="S11" s="90"/>
      <c r="T11" s="13"/>
      <c r="U11" s="132"/>
      <c r="V11" s="132"/>
      <c r="W11" s="132"/>
      <c r="X11" s="132"/>
      <c r="Y11" s="133"/>
    </row>
    <row r="12" spans="1:25" ht="20.149999999999999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29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49999999999999" customHeight="1" x14ac:dyDescent="0.8">
      <c r="A13" s="11" t="s">
        <v>68</v>
      </c>
      <c r="B13" s="87" t="s">
        <v>44</v>
      </c>
      <c r="C13" s="87"/>
      <c r="D13" s="88"/>
      <c r="E13" s="19" t="s">
        <v>61</v>
      </c>
      <c r="F13" s="87" t="s">
        <v>44</v>
      </c>
      <c r="G13" s="87"/>
      <c r="H13" s="88"/>
      <c r="I13" s="11" t="s">
        <v>62</v>
      </c>
      <c r="J13" s="87" t="s">
        <v>44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25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29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49999999999999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49999999999999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>
        <v>110</v>
      </c>
      <c r="P16" s="88"/>
      <c r="Q16" s="11" t="s">
        <v>105</v>
      </c>
      <c r="R16" s="87" t="s">
        <v>31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1"/>
      <c r="Y16" s="142"/>
    </row>
    <row r="17" spans="1:25" ht="20.149999999999999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82"/>
      <c r="J17" s="83"/>
      <c r="K17" s="82"/>
      <c r="L17" s="83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23</v>
      </c>
      <c r="V17" s="88"/>
      <c r="W17" s="11" t="str">
        <f>IF(ISNUMBER(SEARCH("roll",O8,1)),"Total Rolls","Total Ctns")</f>
        <v>Total Ctns</v>
      </c>
      <c r="X17" s="141"/>
      <c r="Y17" s="142"/>
    </row>
    <row r="18" spans="1:25" ht="20.149999999999999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82"/>
      <c r="J18" s="83"/>
      <c r="K18" s="82"/>
      <c r="L18" s="83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1"/>
      <c r="Y18" s="142"/>
    </row>
    <row r="19" spans="1:25" ht="20.149999999999999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82"/>
      <c r="J19" s="83"/>
      <c r="K19" s="82"/>
      <c r="L19" s="83"/>
      <c r="M19" s="29"/>
      <c r="N19" s="60" t="s">
        <v>116</v>
      </c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2"/>
    </row>
    <row r="20" spans="1:25" ht="20.149999999999999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82"/>
      <c r="J20" s="83"/>
      <c r="K20" s="82"/>
      <c r="L20" s="83"/>
      <c r="M20" s="29"/>
      <c r="N20" s="63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5"/>
    </row>
    <row r="21" spans="1:25" ht="20.149999999999999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82"/>
      <c r="J21" s="83"/>
      <c r="K21" s="82"/>
      <c r="L21" s="83"/>
      <c r="M21" s="29"/>
      <c r="N21" s="63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5"/>
    </row>
    <row r="22" spans="1:25" ht="20.149999999999999" customHeight="1" x14ac:dyDescent="0.75">
      <c r="A22" s="74" t="str">
        <f>(IF(B7="NATURAL","",B7))</f>
        <v/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8"/>
      <c r="E22" s="82"/>
      <c r="F22" s="83"/>
      <c r="G22" s="48" t="s">
        <v>86</v>
      </c>
      <c r="H22" s="32"/>
      <c r="I22" s="82"/>
      <c r="J22" s="83"/>
      <c r="K22" s="82"/>
      <c r="L22" s="83"/>
      <c r="M22" s="29"/>
      <c r="N22" s="66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8"/>
    </row>
    <row r="23" spans="1:25" ht="20.149999999999999" customHeight="1" x14ac:dyDescent="0.75">
      <c r="A23" s="79" t="s">
        <v>198</v>
      </c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78"/>
      <c r="E23" s="138">
        <v>0.01</v>
      </c>
      <c r="F23" s="139"/>
      <c r="G23" s="48" t="s">
        <v>87</v>
      </c>
      <c r="H23" s="32"/>
      <c r="I23" s="82"/>
      <c r="J23" s="83"/>
      <c r="K23" s="82"/>
      <c r="L23" s="83"/>
      <c r="M23" s="29"/>
      <c r="N23" s="129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49999999999999" customHeight="1" x14ac:dyDescent="0.75">
      <c r="A24" s="80" t="s">
        <v>199</v>
      </c>
      <c r="B24" s="81"/>
      <c r="C24" s="77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>0</v>
      </c>
      <c r="D24" s="78"/>
      <c r="E24" s="138">
        <v>0.01</v>
      </c>
      <c r="F24" s="139"/>
      <c r="G24" s="48" t="s">
        <v>88</v>
      </c>
      <c r="H24" s="32"/>
      <c r="I24" s="82"/>
      <c r="J24" s="83"/>
      <c r="K24" s="82"/>
      <c r="L24" s="83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 t="s">
        <v>200</v>
      </c>
      <c r="P25" s="34"/>
      <c r="Q25" s="10">
        <v>32</v>
      </c>
      <c r="R25" s="10"/>
      <c r="S25" s="10"/>
      <c r="T25" s="10"/>
      <c r="U25" s="10"/>
      <c r="V25" s="10"/>
      <c r="W25" s="10">
        <v>15</v>
      </c>
      <c r="X25" s="10">
        <v>11</v>
      </c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40" t="s">
        <v>132</v>
      </c>
      <c r="H26" s="140"/>
      <c r="I26" s="140" t="s">
        <v>131</v>
      </c>
      <c r="J26" s="140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91" t="s">
        <v>99</v>
      </c>
      <c r="B29" s="92"/>
      <c r="C29" s="92"/>
      <c r="D29" s="92"/>
      <c r="E29" s="92"/>
      <c r="F29" s="134"/>
      <c r="G29" s="134"/>
      <c r="H29" s="134"/>
      <c r="I29" s="134"/>
      <c r="J29" s="134"/>
      <c r="K29" s="92"/>
      <c r="L29" s="135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4" fitToHeight="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45929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45919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194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0EC207E-370C-4DCA-9C01-C2D3BDD49CC4}"/>
</file>

<file path=customXml/itemProps2.xml><?xml version="1.0" encoding="utf-8"?>
<ds:datastoreItem xmlns:ds="http://schemas.openxmlformats.org/officeDocument/2006/customXml" ds:itemID="{14E56468-4F6A-4369-92EB-8C834B7803BB}"/>
</file>

<file path=customXml/itemProps3.xml><?xml version="1.0" encoding="utf-8"?>
<ds:datastoreItem xmlns:ds="http://schemas.openxmlformats.org/officeDocument/2006/customXml" ds:itemID="{6198EFEC-044B-4F2C-897B-B936A34A77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2025-08-29T01:44:15Z</cp:lastPrinted>
  <dcterms:created xsi:type="dcterms:W3CDTF">2019-11-27T23:28:06Z</dcterms:created>
  <dcterms:modified xsi:type="dcterms:W3CDTF">2025-09-08T23:52:57Z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