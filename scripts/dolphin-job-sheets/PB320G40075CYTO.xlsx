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A8EF84D-2643-41BB-BC3A-8B86F14D5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<sst xmlns="http://schemas.openxmlformats.org/spreadsheetml/2006/main" count="309" uniqueCount="205">
  <si>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</si>
  <si>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</si>
  <si>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</si>
  <si>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</si>
  <si>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</si>
  <si>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</si>
  <si>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</si>
  <si>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</si>
  <si>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</si>
  <si>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</si>
  <si>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</si>
  <si>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</si>
  <si>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</si>
  <si>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</si>
  <si>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</si>
  <si>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</si>
  <si>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</si>
  <si>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</si>
  <si>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</si>
  <si>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</si>
  <si>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</si>
  <si>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</si>
  <si>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</si>
  <si>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</si>
  <si>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</si>
  <si>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</si>
  <si>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</si>
  <si>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</si>
  <si>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</si>
  <si>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</si>
  <si>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</si>
  <si>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</si>
  <si>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</si>
  <si>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</si>
  <si>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</si>
  <si>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</si>
  <si>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</si>
  <si>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</si>
  <si>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</si>
  <si>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</si>
  <si>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</si>
  <si>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</si>
  <si>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</si>
  <si>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</si>
  <si>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</si>
  <si>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</si>
  <si>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</si>
  <si>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</si>
  <si>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</si>
  <si>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</si>
  <si>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</si>
  <si>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</si>
  <si>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</si>
  <si>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</si>
  <si>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</si>
  <si>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</si>
  <si>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</si>
  <si>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</si>
  <si>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</si>
  <si>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</si>
  <si>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</si>
  <si>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</si>
  <si>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</si>
  <si>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</si>
  <si>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</si>
  <si>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</si>
  <si>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</si>
  <si>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</si>
  <si>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</si>
  <si>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</si>
  <si>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</si>
  <si>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</si>
  <si>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</si>
  <si>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</si>
  <si>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</si>
  <si>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</si>
  <si>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</si>
  <si>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</si>
  <si>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</si>
  <si>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</si>
  <si>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</si>
  <si>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</si>
  <si>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</si>
  <si>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</si>
  <si>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</si>
  <si>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</si>
  <si>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</si>
  <si>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</si>
  <si>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</si>
  <si>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</si>
  <si>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</si>
  <si>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</si>
  <si>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</si>
  <si>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</si>
  <si>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</si>
  <si>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</si>
  <si>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</si>
  <si>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</si>
  <si>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</si>
  <si>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</si>
  <si>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</si>
  <si>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</si>
  <si>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</si>
  <si>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</si>
  <si>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</si>
  <si>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</si>
  <si>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</si>
  <si>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</si>
  <si>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</si>
  <si>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</si>
  <si>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</si>
  <si>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</si>
  <si>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</si>
  <si>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</si>
  <si>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</si>
  <si>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</si>
  <si>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</si>
  <si>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</si>
  <si>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</si>
  <si>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</si>
  <si>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</si>
  <si>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</si>
  <si>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</si>
  <si>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</si>
  <si>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</si>
  <si>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</si>
  <si>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</si>
  <si>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</si>
  <si>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</si>
  <si>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</si>
  <si>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</si>
  <si>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</si>
  <si>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</si>
  <si>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</si>
  <si>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</si>
  <si>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</si>
  <si>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</si>
  <si>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</si>
  <si>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</si>
  <si>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</si>
  <si>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</si>
  <si>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</si>
  <si>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</si>
  <si>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</si>
  <si>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</si>
  <si>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</si>
  <si>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</si>
  <si>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</si>
  <si>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</si>
  <si>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</si>
  <si>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</si>
  <si>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</si>
  <si>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</si>
  <si>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</si>
  <si>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</si>
  <si>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</si>
  <si>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</si>
  <si>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</si>
  <si>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</si>
  <si>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</si>
  <si>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</si>
  <si>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</si>
  <si>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</si>
  <si>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</si>
  <si>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</si>
  <si>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</si>
  <si>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</si>
  <si>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</si>
  <si>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</si>
  <si>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</si>
  <si>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</si>
  <si>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</si>
  <si>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</si>
  <si>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</si>
  <si>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</si>
  <si>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</si>
  <si>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</si>
  <si>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</si>
  <si>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</si>
  <si>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</si>
  <si>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</si>
  <si>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</si>
  <si>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</si>
  <si>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</si>
  <si>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</si>
  <si>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</si>
  <si>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</si>
  <si>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</si>
  <si>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</si>
  <si>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</si>
  <si>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</si>
  <si>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</si>
  <si>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</si>
  <si>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</si>
  <si>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</si>
  <si>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"CYTOTOXIC WASTE"</t>
  </si>
  <si>
    <t>RUN AT 70um</t>
  </si>
  <si>
    <t>LIMAX</t>
  </si>
  <si>
    <t>(190+140)</t>
  </si>
  <si>
    <t>CYTO320MM</t>
  </si>
  <si>
    <t>CHILDRENS CANCER INST</t>
  </si>
  <si>
    <t>SPECIALTY ITEM FOR CHILDRENS CANCER UNIT</t>
  </si>
  <si>
    <t>ANTIBLOCK</t>
  </si>
  <si>
    <t>%</t>
  </si>
  <si>
    <t>Notes(PACK NOTES G15 PACK FOLD)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</si>
</sst>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PB320G40075LI0P</v>
      </c>
      <c r="C1" s="110"/>
      <c r="D1" s="111"/>
      <c r="E1" s="10" t="s">
        <v>57</v>
      </c>
      <c r="F1" s="61" t="s">
        <v>200</v>
      </c>
      <c r="G1" s="61"/>
      <c r="H1" s="62"/>
      <c r="I1" s="11" t="s">
        <v>181</v>
      </c>
      <c r="J1" s="122">
        <f ca="1">TODAY()</f>
        <v>45586</v>
      </c>
      <c r="K1" s="122"/>
      <c r="L1" s="123"/>
      <c r="M1" s="28"/>
      <c r="N1" s="10" t="s">
        <v>56</v>
      </c>
      <c r="O1" s="110" t="str">
        <f>B1</f>
        <v>PB320G40075LI0P</v>
      </c>
      <c r="P1" s="110"/>
      <c r="Q1" s="111"/>
      <c r="R1" s="10" t="s">
        <v>57</v>
      </c>
      <c r="S1" s="110" t="str">
        <f>F1</f>
        <v>CHILDRENS CANCER INST</v>
      </c>
      <c r="T1" s="110"/>
      <c r="U1" s="111"/>
      <c r="V1" s="10" t="s">
        <v>181</v>
      </c>
      <c r="W1" s="122">
        <f ca="1">J1</f>
        <v>45586</v>
      </c>
      <c r="X1" s="122"/>
      <c r="Y1" s="123"/>
    </row>
    <row r="2" spans="1:25" ht="20.100000000000001" customHeight="1" x14ac:dyDescent="0.25">
      <c r="A2" s="10" t="s">
        <v>100</v>
      </c>
      <c r="B2" s="110" t="str">
        <f>IF(U10="","",U10)</f>
        <v>CYTO320MM</v>
      </c>
      <c r="C2" s="110"/>
      <c r="D2" s="111"/>
      <c r="E2" s="10" t="s">
        <v>58</v>
      </c>
      <c r="F2" s="61">
        <v>948273</v>
      </c>
      <c r="G2" s="61"/>
      <c r="H2" s="62"/>
      <c r="I2" s="10" t="s">
        <v>59</v>
      </c>
      <c r="J2" s="125">
        <v>45520</v>
      </c>
      <c r="K2" s="61"/>
      <c r="L2" s="62"/>
      <c r="M2" s="28"/>
      <c r="N2" s="10" t="s">
        <v>100</v>
      </c>
      <c r="O2" s="110" t="str">
        <f>IF(B2="","",B2)</f>
        <v>CYTO320MM</v>
      </c>
      <c r="P2" s="110"/>
      <c r="Q2" s="111"/>
      <c r="R2" s="10" t="s">
        <v>58</v>
      </c>
      <c r="S2" s="110">
        <f>IF(F2="","",F2)</f>
        <v>948273</v>
      </c>
      <c r="T2" s="110"/>
      <c r="U2" s="111"/>
      <c r="V2" s="10" t="s">
        <v>59</v>
      </c>
      <c r="W2" s="124">
        <f>J2</f>
        <v>45520</v>
      </c>
      <c r="X2" s="110"/>
      <c r="Y2" s="111"/>
    </row>
    <row r="3" spans="1:25" ht="20.100000000000001" customHeight="1" x14ac:dyDescent="0.25">
      <c r="A3" s="112" t="s">
        <v>201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21" t="str">
        <f>A3</f>
        <v>SPECIALTY ITEM FOR CHILDRENS CANCER UNIT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102" t="s">
        <v>174</v>
      </c>
      <c r="C7" s="102"/>
      <c r="D7" s="102"/>
      <c r="E7" s="102"/>
      <c r="F7" s="102"/>
      <c r="G7" s="102"/>
      <c r="H7" s="102"/>
      <c r="I7" s="103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6</v>
      </c>
      <c r="P7" s="62"/>
      <c r="Q7" s="10" t="str">
        <f>IF(ISNUMBER(SEARCH("roll",O8,1)),"Per Roll","Per Carton")</f>
        <v>Per Carton</v>
      </c>
      <c r="R7" s="61">
        <v>500</v>
      </c>
      <c r="S7" s="62"/>
      <c r="T7" s="10" t="str">
        <f>IF(ISNUMBER(SEARCH("bag",O8,1)),"Total Bags","Total Sheets")</f>
        <v>Total Bags</v>
      </c>
      <c r="U7" s="110">
        <f>R7*O7</f>
        <v>3000</v>
      </c>
      <c r="V7" s="111"/>
      <c r="W7" s="10" t="s">
        <v>102</v>
      </c>
      <c r="X7" s="61" t="s">
        <v>31</v>
      </c>
      <c r="Y7" s="62"/>
    </row>
    <row r="8" spans="1:25" ht="20.100000000000001" customHeight="1" x14ac:dyDescent="0.25">
      <c r="A8" s="12" t="s">
        <v>16</v>
      </c>
      <c r="B8" s="98">
        <f>R9</f>
        <v>320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(190+140)</v>
      </c>
      <c r="F8" s="99"/>
      <c r="G8" s="12" t="s">
        <v>52</v>
      </c>
      <c r="H8" s="98">
        <f>(IF(V9&lt;30,"30",V9))</f>
        <v>75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5" t="s">
        <v>48</v>
      </c>
      <c r="B9" s="128" t="s">
        <v>194</v>
      </c>
      <c r="C9" s="129"/>
      <c r="D9" s="136" t="str">
        <f>IF(K10="Middle","RUN 2 UP",IF(AND(O8="Centrefold Roll",B8=380),"RUN 2 UP",""))</f>
        <v/>
      </c>
      <c r="E9" s="102"/>
      <c r="F9" s="103"/>
      <c r="G9" s="15" t="s">
        <v>48</v>
      </c>
      <c r="H9" s="128" t="s">
        <v>196</v>
      </c>
      <c r="I9" s="129"/>
      <c r="J9" s="10" t="s">
        <v>55</v>
      </c>
      <c r="K9" s="61" t="s">
        <v>30</v>
      </c>
      <c r="L9" s="62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320</v>
      </c>
      <c r="S9" s="17" t="s">
        <v>78</v>
      </c>
      <c r="T9" s="29">
        <v>400</v>
      </c>
      <c r="U9" s="17" t="s">
        <v>78</v>
      </c>
      <c r="V9" s="29">
        <v>75</v>
      </c>
      <c r="W9" s="16"/>
      <c r="X9" s="87" t="s">
        <v>198</v>
      </c>
      <c r="Y9" s="88"/>
    </row>
    <row r="10" spans="1:25" ht="20.100000000000001" customHeight="1" x14ac:dyDescent="0.25">
      <c r="A10" s="10" t="s">
        <v>51</v>
      </c>
      <c r="B10" s="61">
        <v>3</v>
      </c>
      <c r="C10" s="62"/>
      <c r="D10" s="46" t="s">
        <v>134</v>
      </c>
      <c r="E10" s="130">
        <f>IF(ISNUMBER(SEARCH("sheet",O8,1)),((R9*T9*H8/540000)*U7/2000*1.3),((R9*T9*H8/540000)*U7/1000*1.08))</f>
        <v>57.600000000000009</v>
      </c>
      <c r="F10" s="131"/>
      <c r="G10" s="10" t="s">
        <v>53</v>
      </c>
      <c r="H10" s="134">
        <f>IF(ISNUMBER(SEARCH("sheet",O8,1)),(U7*T9/2000*1.08),(U7*T9/1000*1.08))</f>
        <v>1296</v>
      </c>
      <c r="I10" s="135"/>
      <c r="J10" s="10" t="s">
        <v>41</v>
      </c>
      <c r="K10" s="61" t="s">
        <v>44</v>
      </c>
      <c r="L10" s="62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Yes</v>
      </c>
      <c r="S10" s="96"/>
      <c r="T10" s="13" t="s">
        <v>100</v>
      </c>
      <c r="U10" s="106" t="s">
        <v>199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2">
        <f>E10/B10</f>
        <v>19.200000000000003</v>
      </c>
      <c r="F11" s="133"/>
      <c r="G11" s="10" t="s">
        <v>15</v>
      </c>
      <c r="H11" s="132">
        <f>H10/B10</f>
        <v>432</v>
      </c>
      <c r="I11" s="133"/>
      <c r="J11" s="10" t="s">
        <v>50</v>
      </c>
      <c r="K11" s="61" t="s">
        <v>65</v>
      </c>
      <c r="L11" s="62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>P</v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70</v>
      </c>
      <c r="C13" s="61"/>
      <c r="D13" s="62"/>
      <c r="E13" s="18" t="s">
        <v>61</v>
      </c>
      <c r="F13" s="61" t="s">
        <v>66</v>
      </c>
      <c r="G13" s="61"/>
      <c r="H13" s="62"/>
      <c r="I13" s="10" t="s">
        <v>62</v>
      </c>
      <c r="J13" s="61" t="s">
        <v>155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6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3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2" t="s">
        <v>195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0" t="s">
        <v>4</v>
      </c>
      <c r="F16" s="140"/>
      <c r="G16" s="140" t="s">
        <v>5</v>
      </c>
      <c r="H16" s="140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130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3" t="s">
        <v>147</v>
      </c>
      <c r="D17" s="94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31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3" t="s">
        <v>146</v>
      </c>
      <c r="D18" s="94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3" t="s">
        <v>145</v>
      </c>
      <c r="D19" s="94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204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3" t="s">
        <v>144</v>
      </c>
      <c r="D20" s="94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3" t="s">
        <v>143</v>
      </c>
      <c r="D21" s="94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LILAC</v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94"/>
      <c r="E22" s="95" t="s">
        <v>203</v>
      </c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1" t="s">
        <v>202</v>
      </c>
      <c r="B23" s="141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89" t="s">
        <v>203</v>
      </c>
      <c r="F23" s="90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2"/>
      <c r="B24" s="143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197</v>
      </c>
      <c r="P25" s="33"/>
      <c r="Q25" s="9">
        <v>22</v>
      </c>
      <c r="R25" s="9"/>
      <c r="S25" s="9"/>
      <c r="T25" s="9"/>
      <c r="U25" s="9"/>
      <c r="V25" s="9"/>
      <c r="W25" s="9">
        <v>17</v>
      </c>
      <c r="X25" s="9">
        <v>13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/>
      <c r="C27" s="7"/>
      <c r="D27" s="144">
        <v>25</v>
      </c>
      <c r="E27" s="145">
        <v>3.2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7" t="s">
        <v>136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9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45617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45607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FC70F53-BB68-4E43-A4DC-010CB5980968}"/>
</file>

<file path=customXml/itemProps2.xml><?xml version="1.0" encoding="utf-8"?>
<ds:datastoreItem xmlns:ds="http://schemas.openxmlformats.org/officeDocument/2006/customXml" ds:itemID="{0B4BE6EB-E073-4381-940C-436A0CC89FB7}"/>
</file>

<file path=customXml/itemProps3.xml><?xml version="1.0" encoding="utf-8"?>
<ds:datastoreItem xmlns:ds="http://schemas.openxmlformats.org/officeDocument/2006/customXml" ds:itemID="{30DC7AD7-578E-4202-A05D-2B5C1B399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2024-07-26T00:17:48Z</cp:lastPrinted>
  <dcterms:created xsi:type="dcterms:W3CDTF">2019-11-27T23:28:06Z</dcterms:created>
  <dcterms:modified xsi:type="dcterms:W3CDTF">2024-10-21T01:01:57Z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