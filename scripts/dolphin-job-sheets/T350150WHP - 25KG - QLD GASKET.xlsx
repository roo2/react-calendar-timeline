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B7833AC-5A77-4721-9399-CAEEAF3BE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<sst xmlns="http://schemas.openxmlformats.org/spreadsheetml/2006/main" count="227" uniqueCount="169">
  <si>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</si>
  <si>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</si>
  <si>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</si>
  <si>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</si>
  <si>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</si>
  <si>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</si>
  <si>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</si>
  <si>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</si>
  <si>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</si>
  <si>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</si>
  <si>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</si>
  <si>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</si>
  <si>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</si>
  <si>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</si>
  <si>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</si>
  <si>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</si>
  <si>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</si>
  <si>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</si>
  <si>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</si>
  <si>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</si>
  <si>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</si>
  <si>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</si>
  <si>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</si>
  <si>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</si>
  <si>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</si>
  <si>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</si>
  <si>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</si>
  <si>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</si>
  <si>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</si>
  <si>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</si>
  <si>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</si>
  <si>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</si>
  <si>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</si>
  <si>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</si>
  <si>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</si>
  <si>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</si>
  <si>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</si>
  <si>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</si>
  <si>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</si>
  <si>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</si>
  <si>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</si>
  <si>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</si>
  <si>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</si>
  <si>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</si>
  <si>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</si>
  <si>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</si>
  <si>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</si>
  <si>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</si>
  <si>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</si>
  <si>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</si>
  <si>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</si>
  <si>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</si>
  <si>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</si>
  <si>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</si>
  <si>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</si>
  <si>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</si>
  <si>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</si>
  <si>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</si>
  <si>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</si>
  <si>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</si>
  <si>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</si>
  <si>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</si>
  <si>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</si>
  <si>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</si>
  <si>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</si>
  <si>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</si>
  <si>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</si>
  <si>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</si>
  <si>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</si>
  <si>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</si>
  <si>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</si>
  <si>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</si>
  <si>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</si>
  <si>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</si>
  <si>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</si>
  <si>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</si>
  <si>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</si>
  <si>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</si>
  <si>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</si>
  <si>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</si>
  <si>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</si>
  <si>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</si>
  <si>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</si>
  <si>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</si>
  <si>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</si>
  <si>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</si>
  <si>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</si>
  <si>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</si>
  <si>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</si>
  <si>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</si>
  <si>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</si>
  <si>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</si>
  <si>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</si>
  <si>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</si>
  <si>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</si>
  <si>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</si>
  <si>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</si>
  <si>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</si>
  <si>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</si>
  <si>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</si>
  <si>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</si>
  <si>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</si>
  <si>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</si>
  <si>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</si>
  <si>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</si>
  <si>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</si>
  <si>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</si>
  <si>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</si>
  <si>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</si>
  <si>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</si>
  <si>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</si>
  <si>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</si>
  <si>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</si>
  <si>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</si>
  <si>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</si>
  <si>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</si>
  <si>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</si>
  <si>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</si>
  <si>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</si>
  <si>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</si>
  <si>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</si>
  <si>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</si>
  <si>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</si>
  <si>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</si>
  <si>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</si>
  <si>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</si>
  <si>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</si>
  <si>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</si>
  <si>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</si>
  <si>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</si>
  <si>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</si>
  <si>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</si>
  <si>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</si>
  <si>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</si>
  <si>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</si>
  <si>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</si>
  <si>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</si>
  <si>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</si>
  <si>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</si>
  <si>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</si>
  <si>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</si>
  <si>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</si>
  <si>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</si>
  <si>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</si>
  <si>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</si>
  <si>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</si>
  <si>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</si>
  <si>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</si>
  <si>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</si>
  <si>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</si>
  <si>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</si>
  <si>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</si>
  <si>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</si>
  <si>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</si>
  <si>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</si>
  <si>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</si>
  <si>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</si>
  <si>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</si>
  <si>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</si>
  <si>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</si>
  <si>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</si>
  <si>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</si>
  <si>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</si>
  <si>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</si>
  <si>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TRIPLE M</t>
  </si>
  <si>
    <t>RED AND GREY PRINT - "QLD GASKETS - THE CUTTING SPECIALISTS"</t>
  </si>
  <si>
    <t>RUN AT 140um</t>
  </si>
  <si>
    <t>SOLID WHITE - MUST BE GOOD PRINT</t>
  </si>
  <si>
    <t>15.04.2021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</si>
</sst>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/>
    </xf>
    <xf numFmtId="2" fontId="10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T350150PWH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45481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939917</v>
      </c>
      <c r="G2" s="46"/>
      <c r="H2" s="47"/>
      <c r="I2" s="11" t="s">
        <v>57</v>
      </c>
      <c r="J2" s="114" t="s">
        <v>168</v>
      </c>
      <c r="K2" s="114"/>
      <c r="L2" s="115"/>
    </row>
    <row r="3" spans="1:14" ht="20.100000000000001" customHeight="1" x14ac:dyDescent="0.25">
      <c r="A3" s="103" t="s">
        <v>167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157</v>
      </c>
      <c r="B7" s="46" t="s">
        <v>158</v>
      </c>
      <c r="C7" s="47"/>
      <c r="D7" s="11" t="s">
        <v>47</v>
      </c>
      <c r="E7" s="45" t="s">
        <v>123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350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163</v>
      </c>
      <c r="C9" s="85"/>
      <c r="D9" s="117" t="str">
        <f>IF(K10="Middle","RUN 2 UP",IF(AND(B7="Cont Centrefold",B8=380),"RUN 2 UP",""))</f>
        <v/>
      </c>
      <c r="E9" s="118"/>
      <c r="F9" s="119"/>
      <c r="G9" s="13" t="s">
        <v>46</v>
      </c>
      <c r="H9" s="84" t="s">
        <v>166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2</v>
      </c>
      <c r="C10" s="47"/>
      <c r="D10" s="36" t="s">
        <v>104</v>
      </c>
      <c r="E10" s="88">
        <f>E11*B10</f>
        <v>50</v>
      </c>
      <c r="F10" s="89"/>
      <c r="G10" s="11" t="s">
        <v>51</v>
      </c>
      <c r="H10" s="92">
        <f>H11*B10</f>
        <v>514.28571428571433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257.14285714285717</v>
      </c>
      <c r="I11" s="95"/>
      <c r="J11" s="42" t="s">
        <v>48</v>
      </c>
      <c r="K11" s="99" t="s">
        <v>63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119</v>
      </c>
      <c r="K13" s="46"/>
      <c r="L13" s="47"/>
    </row>
    <row r="14" spans="1:14" ht="20.100000000000001" customHeight="1" x14ac:dyDescent="0.3">
      <c r="A14" s="12" t="s">
        <v>58</v>
      </c>
      <c r="B14" s="45" t="s">
        <v>165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1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2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>WHITE</v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WH</v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20" t="s">
        <v>103</v>
      </c>
      <c r="H27" s="120"/>
      <c r="I27" s="120" t="s">
        <v>102</v>
      </c>
      <c r="J27" s="12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6"/>
      <c r="H28" s="116"/>
      <c r="I28" s="116"/>
      <c r="J28" s="116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6"/>
      <c r="H29" s="116"/>
      <c r="I29" s="116"/>
      <c r="J29" s="116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45512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45502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A16E881-025C-4064-9313-60824DBE3887}"/>
</file>

<file path=customXml/itemProps2.xml><?xml version="1.0" encoding="utf-8"?>
<ds:datastoreItem xmlns:ds="http://schemas.openxmlformats.org/officeDocument/2006/customXml" ds:itemID="{E4186057-5298-4392-8AA5-B5D2693CC007}"/>
</file>

<file path=customXml/itemProps3.xml><?xml version="1.0" encoding="utf-8"?>
<ds:datastoreItem xmlns:ds="http://schemas.openxmlformats.org/officeDocument/2006/customXml" ds:itemID="{C13D8F10-4982-4E9D-89DC-89A112BB50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2021-03-29T00:57:33Z</cp:lastPrinted>
  <dcterms:created xsi:type="dcterms:W3CDTF">2019-11-27T23:28:06Z</dcterms:created>
  <dcterms:modified xsi:type="dcterms:W3CDTF">2024-07-08T03:57:02Z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