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493E99E2-C085-45E6-AC4E-47371AFFC5B0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<sst xmlns="http://schemas.openxmlformats.org/spreadsheetml/2006/main" count="303" uniqueCount="199">
  <si>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</si>
  <si>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</si>
  <si>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</si>
  <si>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</si>
  <si>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</si>
  <si>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</si>
  <si>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</si>
  <si>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</si>
  <si>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</si>
  <si>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</si>
  <si>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</si>
  <si>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</si>
  <si>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</si>
  <si>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</si>
  <si>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</si>
  <si>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</si>
  <si>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</si>
  <si>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</si>
  <si>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</si>
  <si>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</si>
  <si>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</si>
  <si>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</si>
  <si>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</si>
  <si>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</si>
  <si>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</si>
  <si>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</si>
  <si>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</si>
  <si>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</si>
  <si>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</si>
  <si>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</si>
  <si>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</si>
  <si>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</si>
  <si>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</si>
  <si>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</si>
  <si>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</si>
  <si>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</si>
  <si>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</si>
  <si>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</si>
  <si>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</si>
  <si>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</si>
  <si>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</si>
  <si>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</si>
  <si>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</si>
  <si>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</si>
  <si>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</si>
  <si>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</si>
  <si>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</si>
  <si>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</si>
  <si>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</si>
  <si>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</si>
  <si>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</si>
  <si>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</si>
  <si>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</si>
  <si>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</si>
  <si>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</si>
  <si>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</si>
  <si>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</si>
  <si>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</si>
  <si>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</si>
  <si>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</si>
  <si>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</si>
  <si>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</si>
  <si>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</si>
  <si>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</si>
  <si>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</si>
  <si>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</si>
  <si>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</si>
  <si>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</si>
  <si>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</si>
  <si>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</si>
  <si>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</si>
  <si>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</si>
  <si>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</si>
  <si>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</si>
  <si>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</si>
  <si>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</si>
  <si>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</si>
  <si>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</si>
  <si>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</si>
  <si>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</si>
  <si>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</si>
  <si>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</si>
  <si>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</si>
  <si>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</si>
  <si>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</si>
  <si>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</si>
  <si>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</si>
  <si>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</si>
  <si>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</si>
  <si>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</si>
  <si>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</si>
  <si>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</si>
  <si>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</si>
  <si>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</si>
  <si>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</si>
  <si>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</si>
  <si>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</si>
  <si>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</si>
  <si>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</si>
  <si>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</si>
  <si>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</si>
  <si>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</si>
  <si>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</si>
  <si>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</si>
  <si>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</si>
  <si>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</si>
  <si>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</si>
  <si>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</si>
  <si>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</si>
  <si>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</si>
  <si>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</si>
  <si>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</si>
  <si>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</si>
  <si>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</si>
  <si>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</si>
  <si>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</si>
  <si>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</si>
  <si>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</si>
  <si>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</si>
  <si>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</si>
  <si>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</si>
  <si>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</si>
  <si>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</si>
  <si>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</si>
  <si>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</si>
  <si>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</si>
  <si>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</si>
  <si>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</si>
  <si>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</si>
  <si>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</si>
  <si>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</si>
  <si>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</si>
  <si>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</si>
  <si>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</si>
  <si>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</si>
  <si>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</si>
  <si>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</si>
  <si>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</si>
  <si>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</si>
  <si>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</si>
  <si>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</si>
  <si>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</si>
  <si>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</si>
  <si>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</si>
  <si>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</si>
  <si>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</si>
  <si>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</si>
  <si>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</si>
  <si>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</si>
  <si>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</si>
  <si>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</si>
  <si>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</si>
  <si>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</si>
  <si>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</si>
  <si>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</si>
  <si>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</si>
  <si>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</si>
  <si>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</si>
  <si>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</si>
  <si>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</si>
  <si>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</si>
  <si>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</si>
  <si>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</si>
  <si>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</si>
  <si>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</si>
  <si>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</si>
  <si>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</si>
  <si>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</si>
  <si>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</si>
  <si>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</si>
  <si>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</si>
  <si>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</si>
  <si>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</si>
  <si>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</si>
  <si>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</si>
  <si>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</si>
  <si>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</si>
  <si>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</si>
  <si>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</si>
  <si>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</si>
  <si>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</si>
  <si>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</si>
  <si>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</si>
  <si>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</si>
  <si>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</si>
  <si>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</si>
  <si>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</si>
  <si>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</si>
  <si>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</si>
  <si>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</si>
  <si>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</si>
  <si>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</si>
  <si>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</si>
  <si>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</si>
  <si>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+/-10mm</t>
  </si>
  <si>
    <t>PINK</t>
  </si>
  <si>
    <t>X</t>
  </si>
  <si>
    <t>NOT OVER 140UM</t>
  </si>
  <si>
    <t>INNISFAIL AQUA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</si>
</sst>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7" fillId="0" borderId="7" xfId="2" applyFont="1" applyBorder="1" applyAlignment="1" applyProtection="1">
      <alignment horizontal="center" vertical="top"/>
      <protection locked="0"/>
    </xf>
    <xf numFmtId="0" fontId="18" fillId="0" borderId="3" xfId="2" applyFont="1" applyBorder="1" applyAlignment="1" applyProtection="1">
      <alignment horizontal="center" vertical="top"/>
      <protection locked="0"/>
    </xf>
    <xf numFmtId="0" fontId="18" fillId="0" borderId="8" xfId="2" applyFont="1" applyBorder="1" applyAlignment="1" applyProtection="1">
      <alignment horizontal="center" vertical="top"/>
      <protection locked="0"/>
    </xf>
    <xf numFmtId="0" fontId="18" fillId="0" borderId="9" xfId="2" applyFont="1" applyBorder="1" applyAlignment="1" applyProtection="1">
      <alignment horizontal="center" vertical="top"/>
      <protection locked="0"/>
    </xf>
    <xf numFmtId="0" fontId="18" fillId="0" borderId="0" xfId="2" applyFont="1" applyBorder="1" applyAlignment="1" applyProtection="1">
      <alignment horizontal="center" vertical="top"/>
      <protection locked="0"/>
    </xf>
    <xf numFmtId="0" fontId="18" fillId="0" borderId="10" xfId="2" applyFont="1" applyBorder="1" applyAlignment="1" applyProtection="1">
      <alignment horizontal="center" vertical="top"/>
      <protection locked="0"/>
    </xf>
    <xf numFmtId="0" fontId="18" fillId="0" borderId="11" xfId="2" applyFont="1" applyBorder="1" applyAlignment="1" applyProtection="1">
      <alignment horizontal="center" vertical="top"/>
      <protection locked="0"/>
    </xf>
    <xf numFmtId="0" fontId="18" fillId="0" borderId="1" xfId="2" applyFont="1" applyBorder="1" applyAlignment="1" applyProtection="1">
      <alignment horizontal="center" vertical="top"/>
      <protection locked="0"/>
    </xf>
    <xf numFmtId="0" fontId="18" fillId="0" borderId="12" xfId="2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7" borderId="2" xfId="0" applyFont="1" applyFill="1" applyBorder="1" applyAlignment="1" applyProtection="1">
      <alignment horizontal="center"/>
      <protection locked="0"/>
    </xf>
    <xf numFmtId="0" fontId="10" fillId="7" borderId="5" xfId="0" applyFont="1" applyFill="1" applyBorder="1" applyAlignment="1" applyProtection="1">
      <alignment horizontal="center"/>
      <protection locked="0"/>
    </xf>
    <xf numFmtId="0" fontId="19" fillId="8" borderId="2" xfId="0" applyFont="1" applyFill="1" applyBorder="1" applyAlignment="1" applyProtection="1">
      <alignment horizontal="center"/>
      <protection locked="0"/>
    </xf>
    <xf numFmtId="0" fontId="19" fillId="8" borderId="5" xfId="0" applyFont="1" applyFill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14" fontId="10" fillId="0" borderId="5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0" fillId="5" borderId="2" xfId="0" applyFont="1" applyFill="1" applyBorder="1" applyAlignment="1" applyProtection="1">
      <alignment horizontal="center"/>
      <protection locked="0"/>
    </xf>
    <xf numFmtId="0" fontId="20" fillId="5" borderId="5" xfId="0" applyFont="1" applyFill="1" applyBorder="1" applyAlignment="1" applyProtection="1">
      <alignment horizontal="center"/>
      <protection locked="0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D11" sqref="D11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2" t="str">
        <f>O9&amp;R9&amp;IF(X8="G","G","")&amp;IF(O8="Centrefold Roll","("&amp;E8&amp;")","")&amp;T9&amp;V9&amp;C22&amp;C23&amp;C24&amp;O11&amp;R11</f>
        <v>PB510920100</v>
      </c>
      <c r="C1" s="112"/>
      <c r="D1" s="113"/>
      <c r="E1" s="11" t="s">
        <v>57</v>
      </c>
      <c r="F1" s="123" t="s">
        <v>198</v>
      </c>
      <c r="G1" s="62"/>
      <c r="H1" s="63"/>
      <c r="I1" s="12" t="s">
        <v>181</v>
      </c>
      <c r="J1" s="126">
        <f ca="1">TODAY()</f>
        <v>45236</v>
      </c>
      <c r="K1" s="126"/>
      <c r="L1" s="127"/>
      <c r="M1" s="29"/>
      <c r="N1" s="11" t="s">
        <v>56</v>
      </c>
      <c r="O1" s="112" t="str">
        <f>B1</f>
        <v>PB510920100</v>
      </c>
      <c r="P1" s="112"/>
      <c r="Q1" s="113"/>
      <c r="R1" s="11" t="s">
        <v>57</v>
      </c>
      <c r="S1" s="112" t="str">
        <f>F1</f>
        <v>INNISFAIL AQUA</v>
      </c>
      <c r="T1" s="112"/>
      <c r="U1" s="113"/>
      <c r="V1" s="11" t="s">
        <v>181</v>
      </c>
      <c r="W1" s="126">
        <f ca="1">J1</f>
        <v>45236</v>
      </c>
      <c r="X1" s="126"/>
      <c r="Y1" s="127"/>
    </row>
    <row r="2" spans="1:25" ht="20.149999999999999" customHeight="1" x14ac:dyDescent="0.8">
      <c r="A2" s="11" t="s">
        <v>100</v>
      </c>
      <c r="B2" s="112" t="str">
        <f>IF(U10="","",U10)</f>
        <v/>
      </c>
      <c r="C2" s="112"/>
      <c r="D2" s="113"/>
      <c r="E2" s="11" t="s">
        <v>58</v>
      </c>
      <c r="F2" s="62">
        <v>946746</v>
      </c>
      <c r="G2" s="62"/>
      <c r="H2" s="63"/>
      <c r="I2" s="11" t="s">
        <v>59</v>
      </c>
      <c r="J2" s="129" t="s">
        <v>192</v>
      </c>
      <c r="K2" s="129"/>
      <c r="L2" s="130"/>
      <c r="M2" s="29"/>
      <c r="N2" s="11" t="s">
        <v>100</v>
      </c>
      <c r="O2" s="112" t="str">
        <f>IF(B2="","",B2)</f>
        <v/>
      </c>
      <c r="P2" s="112"/>
      <c r="Q2" s="113"/>
      <c r="R2" s="11" t="s">
        <v>58</v>
      </c>
      <c r="S2" s="112">
        <f>IF(F2="","",F2)</f>
        <v>946746</v>
      </c>
      <c r="T2" s="112"/>
      <c r="U2" s="113"/>
      <c r="V2" s="11" t="s">
        <v>59</v>
      </c>
      <c r="W2" s="128" t="str">
        <f>J2</f>
        <v>ASAP</v>
      </c>
      <c r="X2" s="112"/>
      <c r="Y2" s="113"/>
    </row>
    <row r="3" spans="1:25" ht="20.149999999999999" customHeight="1" x14ac:dyDescent="0.75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29"/>
      <c r="N3" s="114">
        <f>A3</f>
        <v>0</v>
      </c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6"/>
    </row>
    <row r="4" spans="1:25" ht="20.149999999999999" customHeight="1" x14ac:dyDescent="0.7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29"/>
      <c r="N4" s="117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9"/>
    </row>
    <row r="5" spans="1:25" ht="20.149999999999999" customHeight="1" x14ac:dyDescent="0.7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29"/>
      <c r="N5" s="120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2"/>
    </row>
    <row r="6" spans="1:25" ht="20.149999999999999" customHeight="1" x14ac:dyDescent="0.75">
      <c r="A6" s="131" t="s">
        <v>2</v>
      </c>
      <c r="B6" s="132"/>
      <c r="C6" s="132"/>
      <c r="D6" s="132"/>
      <c r="E6" s="132"/>
      <c r="F6" s="132"/>
      <c r="G6" s="132"/>
      <c r="H6" s="132"/>
      <c r="I6" s="132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24" t="s">
        <v>163</v>
      </c>
      <c r="C7" s="124"/>
      <c r="D7" s="124"/>
      <c r="E7" s="124"/>
      <c r="F7" s="124"/>
      <c r="G7" s="124"/>
      <c r="H7" s="124"/>
      <c r="I7" s="125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5</v>
      </c>
      <c r="P7" s="63"/>
      <c r="Q7" s="11" t="str">
        <f>IF(ISNUMBER(SEARCH("roll",O8,1)),"Per Roll","Per Carton")</f>
        <v>Per Carton</v>
      </c>
      <c r="R7" s="62">
        <v>200</v>
      </c>
      <c r="S7" s="63"/>
      <c r="T7" s="11" t="str">
        <f>IF(ISNUMBER(SEARCH("bag",O8,1)),"Total Bags","Total Sheets")</f>
        <v>Total Bags</v>
      </c>
      <c r="U7" s="112">
        <f>R7*O7</f>
        <v>1000</v>
      </c>
      <c r="V7" s="113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8">
        <f>R9</f>
        <v>510</v>
      </c>
      <c r="C8" s="99"/>
      <c r="D8" s="27" t="str">
        <f>IF(ISNUMBER(SEARCH("bag",O8,1)),"Gusset","Centrefold")</f>
        <v>Gusset</v>
      </c>
      <c r="E8" s="98" t="str">
        <f>IF(O8="Centrefold Roll",B8*2,IF(X9="","None",X9))</f>
        <v>None</v>
      </c>
      <c r="F8" s="99"/>
      <c r="G8" s="13" t="s">
        <v>52</v>
      </c>
      <c r="H8" s="98">
        <f>(IF(V9&lt;30,"30",V9))</f>
        <v>100</v>
      </c>
      <c r="I8" s="99"/>
      <c r="J8" s="11" t="s">
        <v>54</v>
      </c>
      <c r="K8" s="112" t="str">
        <f>IF(X8="None","Layflat Tube",IF(X8="","Layflat Tube",IF(X8="CF","Layflat Tube",IF(X8="G","Gusset Tube",IF(X9="","Layflat Tube",)))))</f>
        <v>Layflat Tube</v>
      </c>
      <c r="L8" s="113"/>
      <c r="M8" s="29"/>
      <c r="N8" s="14" t="s">
        <v>54</v>
      </c>
      <c r="O8" s="100" t="s">
        <v>164</v>
      </c>
      <c r="P8" s="101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None</v>
      </c>
      <c r="Y8" s="97"/>
    </row>
    <row r="9" spans="1:25" ht="20.149999999999999" customHeight="1" x14ac:dyDescent="0.9">
      <c r="A9" s="16" t="s">
        <v>48</v>
      </c>
      <c r="B9" s="135" t="s">
        <v>194</v>
      </c>
      <c r="C9" s="136"/>
      <c r="D9" s="143" t="str">
        <f>IF(K10="Middle","RUN 2 UP",IF(AND(O8="Centrefold Roll",B8=380),"RUN 2 UP",""))</f>
        <v/>
      </c>
      <c r="E9" s="124"/>
      <c r="F9" s="125"/>
      <c r="G9" s="16" t="s">
        <v>48</v>
      </c>
      <c r="H9" s="133" t="s">
        <v>197</v>
      </c>
      <c r="I9" s="134"/>
      <c r="J9" s="11" t="s">
        <v>55</v>
      </c>
      <c r="K9" s="62" t="s">
        <v>30</v>
      </c>
      <c r="L9" s="63"/>
      <c r="M9" s="29"/>
      <c r="N9" s="17"/>
      <c r="O9" s="106" t="str">
        <f>IF(O8="Poly Bag","PB",IF(O8="Poly Bag Roll","PBR",IF(O8="Centrefold Roll","CFR",IF(O8="Sheet","S",IF(O8="Sheet Roll","SR")))))</f>
        <v>PB</v>
      </c>
      <c r="P9" s="107"/>
      <c r="Q9" s="17"/>
      <c r="R9" s="30">
        <v>510</v>
      </c>
      <c r="S9" s="18" t="s">
        <v>196</v>
      </c>
      <c r="T9" s="30">
        <v>920</v>
      </c>
      <c r="U9" s="18" t="s">
        <v>78</v>
      </c>
      <c r="V9" s="30">
        <v>100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3</v>
      </c>
      <c r="C10" s="63"/>
      <c r="D10" s="47" t="s">
        <v>134</v>
      </c>
      <c r="E10" s="137">
        <f>IF(ISNUMBER(SEARCH("sheet",O8,1)),((R9*T9*H8/540000)*U7/2000*1.3),((R9*T9*H8/540000)*U7/1000*1.08))</f>
        <v>93.84</v>
      </c>
      <c r="F10" s="138"/>
      <c r="G10" s="11" t="s">
        <v>53</v>
      </c>
      <c r="H10" s="141">
        <f>IF(ISNUMBER(SEARCH("sheet",O8,1)),(U7*T9/2000*1.08),(U7*T9/1000*1.08))</f>
        <v>993.6</v>
      </c>
      <c r="I10" s="142"/>
      <c r="J10" s="11" t="s">
        <v>41</v>
      </c>
      <c r="K10" s="62" t="s">
        <v>44</v>
      </c>
      <c r="L10" s="63"/>
      <c r="M10" s="29"/>
      <c r="N10" s="14" t="s">
        <v>141</v>
      </c>
      <c r="O10" s="100" t="s">
        <v>44</v>
      </c>
      <c r="P10" s="101"/>
      <c r="Q10" s="14" t="s">
        <v>50</v>
      </c>
      <c r="R10" s="96" t="str">
        <f>IF(K11="NONE","None",IF(K11="INLINE","Yes",IF(K11="OUT OF LINE","Yes")))</f>
        <v>None</v>
      </c>
      <c r="S10" s="96"/>
      <c r="T10" s="14" t="s">
        <v>100</v>
      </c>
      <c r="U10" s="108"/>
      <c r="V10" s="108"/>
      <c r="W10" s="108"/>
      <c r="X10" s="108"/>
      <c r="Y10" s="109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2" t="str">
        <f>IF(AND(O8="Centrefold Roll",D9="RUN 2 UP"),B10*2,IF(ISNUMBER(SEARCH("sheet",O8,1)),B10*2,""))</f>
        <v/>
      </c>
      <c r="C11" s="113"/>
      <c r="D11" s="11" t="s">
        <v>135</v>
      </c>
      <c r="E11" s="139">
        <f>E10/B10</f>
        <v>31.28</v>
      </c>
      <c r="F11" s="140"/>
      <c r="G11" s="11" t="s">
        <v>15</v>
      </c>
      <c r="H11" s="139">
        <f>H10/B10</f>
        <v>331.2</v>
      </c>
      <c r="I11" s="140"/>
      <c r="J11" s="11" t="s">
        <v>50</v>
      </c>
      <c r="K11" s="62" t="s">
        <v>44</v>
      </c>
      <c r="L11" s="63"/>
      <c r="M11" s="29"/>
      <c r="N11" s="13"/>
      <c r="O11" s="98" t="str">
        <f>IF(O10="NONE","","V")</f>
        <v/>
      </c>
      <c r="P11" s="99"/>
      <c r="Q11" s="13"/>
      <c r="R11" s="98" t="str">
        <f>IF(R10="None","","P")</f>
        <v/>
      </c>
      <c r="S11" s="99"/>
      <c r="T11" s="13"/>
      <c r="U11" s="110"/>
      <c r="V11" s="110"/>
      <c r="W11" s="110"/>
      <c r="X11" s="110"/>
      <c r="Y11" s="111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102" t="s">
        <v>44</v>
      </c>
      <c r="K13" s="102"/>
      <c r="L13" s="103"/>
      <c r="M13" s="29"/>
      <c r="N13" s="11" t="s">
        <v>72</v>
      </c>
      <c r="O13" s="31" t="s">
        <v>77</v>
      </c>
      <c r="P13" s="11" t="s">
        <v>73</v>
      </c>
      <c r="Q13" s="20">
        <f>O7</f>
        <v>5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5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56" t="s">
        <v>4</v>
      </c>
      <c r="F16" s="156"/>
      <c r="G16" s="156" t="s">
        <v>5</v>
      </c>
      <c r="H16" s="156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 t="s">
        <v>38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3" t="s">
        <v>147</v>
      </c>
      <c r="D17" s="94"/>
      <c r="E17" s="90"/>
      <c r="F17" s="65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3" t="s">
        <v>146</v>
      </c>
      <c r="D18" s="94"/>
      <c r="E18" s="90"/>
      <c r="F18" s="65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3" t="s">
        <v>145</v>
      </c>
      <c r="D19" s="94"/>
      <c r="E19" s="90"/>
      <c r="F19" s="65"/>
      <c r="G19" s="48" t="s">
        <v>83</v>
      </c>
      <c r="H19" s="32"/>
      <c r="I19" s="59"/>
      <c r="J19" s="60"/>
      <c r="K19" s="59"/>
      <c r="L19" s="60"/>
      <c r="M19" s="29"/>
      <c r="N19" s="75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3" t="s">
        <v>144</v>
      </c>
      <c r="D20" s="94"/>
      <c r="E20" s="90"/>
      <c r="F20" s="65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3" t="s">
        <v>143</v>
      </c>
      <c r="D21" s="94"/>
      <c r="E21" s="90"/>
      <c r="F21" s="65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4"/>
      <c r="E22" s="95"/>
      <c r="F22" s="65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57"/>
      <c r="B23" s="157"/>
      <c r="C23" s="93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4"/>
      <c r="E23" s="90"/>
      <c r="F23" s="65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58"/>
      <c r="B24" s="159"/>
      <c r="C24" s="9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4"/>
      <c r="E24" s="90"/>
      <c r="F24" s="65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2" t="s">
        <v>132</v>
      </c>
      <c r="H26" s="92"/>
      <c r="I26" s="92" t="s">
        <v>131</v>
      </c>
      <c r="J26" s="92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1"/>
      <c r="H27" s="91"/>
      <c r="I27" s="91"/>
      <c r="J27" s="91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1"/>
      <c r="H28" s="91"/>
      <c r="I28" s="91"/>
      <c r="J28" s="91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144" t="s">
        <v>116</v>
      </c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6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147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9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150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2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53" t="s">
        <v>136</v>
      </c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5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Sheet2!$A$56:$A$67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41" zoomScaleNormal="100" workbookViewId="0">
      <selection activeCell="D68" sqref="D68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45266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45257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195</v>
      </c>
      <c r="O61" s="1"/>
      <c r="Q61" s="1"/>
      <c r="R61" s="3"/>
      <c r="S61" s="1"/>
    </row>
    <row r="62" spans="1:20" x14ac:dyDescent="0.75">
      <c r="A62" s="55" t="s">
        <v>150</v>
      </c>
      <c r="O62" s="1"/>
      <c r="Q62" s="1"/>
      <c r="R62" s="1"/>
      <c r="S62" s="1"/>
    </row>
    <row r="63" spans="1:20" x14ac:dyDescent="0.75">
      <c r="A63" s="55" t="s">
        <v>151</v>
      </c>
      <c r="O63" s="1"/>
      <c r="Q63" s="1"/>
      <c r="R63" s="1"/>
      <c r="S63" s="1"/>
    </row>
    <row r="64" spans="1:20" x14ac:dyDescent="0.75">
      <c r="A64" s="55" t="s">
        <v>152</v>
      </c>
      <c r="O64" s="1"/>
      <c r="Q64" s="1"/>
      <c r="R64" s="1"/>
      <c r="S64" s="1"/>
      <c r="T64" s="1"/>
    </row>
    <row r="65" spans="1:20" x14ac:dyDescent="0.75">
      <c r="A65" s="55" t="s">
        <v>153</v>
      </c>
      <c r="O65" s="1"/>
      <c r="Q65" s="1"/>
      <c r="R65" s="1"/>
      <c r="S65" s="1"/>
      <c r="T65" s="1"/>
    </row>
    <row r="66" spans="1:20" x14ac:dyDescent="0.75">
      <c r="A66" s="55" t="s">
        <v>174</v>
      </c>
      <c r="N66" s="3"/>
      <c r="O66" s="1"/>
      <c r="P66" s="1"/>
      <c r="Q66" s="1"/>
      <c r="R66" s="1"/>
      <c r="S66" s="1"/>
      <c r="T66" s="1"/>
    </row>
    <row r="67" spans="1:20" x14ac:dyDescent="0.75">
      <c r="A67" s="55" t="s">
        <v>154</v>
      </c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  <c r="O69" s="1"/>
      <c r="P69" s="1"/>
      <c r="Q69" s="1"/>
      <c r="R69" s="1"/>
      <c r="S69" s="1"/>
      <c r="T69" s="1"/>
    </row>
    <row r="70" spans="1:20" x14ac:dyDescent="0.7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401B8CF-731B-4618-AAEB-42712D203551}"/>
</file>

<file path=customXml/itemProps2.xml><?xml version="1.0" encoding="utf-8"?>
<ds:datastoreItem xmlns:ds="http://schemas.openxmlformats.org/officeDocument/2006/customXml" ds:itemID="{4B7354EF-3B54-4231-A4A5-00EB4C311FEB}"/>
</file>

<file path=customXml/itemProps3.xml><?xml version="1.0" encoding="utf-8"?>
<ds:datastoreItem xmlns:ds="http://schemas.openxmlformats.org/officeDocument/2006/customXml" ds:itemID="{F631B59B-0957-4DB2-A7EB-6C3D0429C8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2023-11-06T01:09:35Z</cp:lastPrinted>
  <dcterms:created xsi:type="dcterms:W3CDTF">2019-11-27T23:28:06Z</dcterms:created>
  <dcterms:modified xsi:type="dcterms:W3CDTF">2023-11-09T23:06:21Z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