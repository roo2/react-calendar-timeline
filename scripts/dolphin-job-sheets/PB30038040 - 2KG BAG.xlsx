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CE7BEBF-8663-4648-81C7-DD7DEE617B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S2" i="1"/>
  <c r="O2" i="1"/>
  <c r="C22" i="1" l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<sst xmlns="http://schemas.openxmlformats.org/spreadsheetml/2006/main" count="305" uniqueCount="200">
  <si>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</si>
  <si>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</si>
  <si>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</si>
  <si>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</si>
  <si>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</si>
  <si>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</si>
  <si>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</si>
  <si>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</si>
  <si>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</si>
  <si>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</si>
  <si>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</si>
  <si>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</si>
  <si>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</si>
  <si>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</si>
  <si>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</si>
  <si>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</si>
  <si>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</si>
  <si>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</si>
  <si>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</si>
  <si>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</si>
  <si>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</si>
  <si>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</si>
  <si>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</si>
  <si>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</si>
  <si>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</si>
  <si>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</si>
  <si>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</si>
  <si>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</si>
  <si>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</si>
  <si>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</si>
  <si>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</si>
  <si>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</si>
  <si>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</si>
  <si>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</si>
  <si>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</si>
  <si>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</si>
  <si>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</si>
  <si>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</si>
  <si>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</si>
  <si>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</si>
  <si>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</si>
  <si>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</si>
  <si>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</si>
  <si>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</si>
  <si>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</si>
  <si>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</si>
  <si>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</si>
  <si>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</si>
  <si>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</si>
  <si>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</si>
  <si>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</si>
  <si>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</si>
  <si>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</si>
  <si>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</si>
  <si>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</si>
  <si>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</si>
  <si>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</si>
  <si>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</si>
  <si>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</si>
  <si>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</si>
  <si>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</si>
  <si>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</si>
  <si>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</si>
  <si>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</si>
  <si>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</si>
  <si>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</si>
  <si>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</si>
  <si>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</si>
  <si>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</si>
  <si>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</si>
  <si>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</si>
  <si>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</si>
  <si>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</si>
  <si>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</si>
  <si>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</si>
  <si>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</si>
  <si>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</si>
  <si>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</si>
  <si>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</si>
  <si>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</si>
  <si>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</si>
  <si>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</si>
  <si>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</si>
  <si>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</si>
  <si>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</si>
  <si>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</si>
  <si>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</si>
  <si>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</si>
  <si>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</si>
  <si>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</si>
  <si>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</si>
  <si>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</si>
  <si>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</si>
  <si>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</si>
  <si>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</si>
  <si>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</si>
  <si>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</si>
  <si>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</si>
  <si>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</si>
  <si>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</si>
  <si>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</si>
  <si>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</si>
  <si>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</si>
  <si>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</si>
  <si>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</si>
  <si>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</si>
  <si>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</si>
  <si>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</si>
  <si>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</si>
  <si>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</si>
  <si>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</si>
  <si>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</si>
  <si>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</si>
  <si>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</si>
  <si>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</si>
  <si>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</si>
  <si>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</si>
  <si>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</si>
  <si>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</si>
  <si>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</si>
  <si>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</si>
  <si>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</si>
  <si>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</si>
  <si>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</si>
  <si>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</si>
  <si>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</si>
  <si>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</si>
  <si>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</si>
  <si>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</si>
  <si>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</si>
  <si>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</si>
  <si>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</si>
  <si>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</si>
  <si>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</si>
  <si>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</si>
  <si>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</si>
  <si>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</si>
  <si>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</si>
  <si>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</si>
  <si>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</si>
  <si>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</si>
  <si>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</si>
  <si>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</si>
  <si>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</si>
  <si>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</si>
  <si>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</si>
  <si>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</si>
  <si>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</si>
  <si>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</si>
  <si>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</si>
  <si>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</si>
  <si>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</si>
  <si>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</si>
  <si>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</si>
  <si>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</si>
  <si>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</si>
  <si>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</si>
  <si>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</si>
  <si>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</si>
  <si>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</si>
  <si>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</si>
  <si>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</si>
  <si>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</si>
  <si>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</si>
  <si>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</si>
  <si>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</si>
  <si>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</si>
  <si>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</si>
  <si>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</si>
  <si>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</si>
  <si>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</si>
  <si>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</si>
  <si>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</si>
  <si>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</si>
  <si>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</si>
  <si>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</si>
  <si>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</si>
  <si>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</si>
  <si>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</si>
  <si>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</si>
  <si>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</si>
  <si>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</si>
  <si>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</si>
  <si>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</si>
  <si>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</si>
  <si>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</si>
  <si>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</si>
  <si>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</si>
  <si>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</si>
  <si>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</si>
  <si>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</si>
  <si>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</si>
  <si>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BUSHIES SEAFOOD</t>
  </si>
  <si>
    <t>NOT OVER</t>
  </si>
  <si>
    <t xml:space="preserve"> +5mm/- 0mm</t>
  </si>
  <si>
    <t>LINE CARTON WITH BLUE LINER - MUST HAVE WATER TIGHT SEALS.</t>
  </si>
  <si>
    <t>LIMAX</t>
  </si>
  <si>
    <t>ANTISTATIC</t>
  </si>
  <si>
    <t>%</t>
  </si>
  <si>
    <t>ANTIBLICK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</si>
</sst>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Q25" sqref="Q25"/>
    </sheetView>
  </sheetViews>
  <sheetFormatPr defaultRowHeight="15" x14ac:dyDescent="0.25"/>
  <sheetData>
    <row r="1" spans="1:25" ht="20.100000000000001" customHeight="1" x14ac:dyDescent="0.25">
      <c r="A1" s="11" t="s">
        <v>55</v>
      </c>
      <c r="B1" s="108" t="str">
        <f>O9&amp;R9&amp;IF(X8="G","G","")&amp;IF(O8="Centrefold Roll","("&amp;E8&amp;")","")&amp;T9&amp;V9&amp;C22&amp;C23&amp;C24&amp;O11&amp;R11</f>
        <v>PB30038040AS0</v>
      </c>
      <c r="C1" s="108"/>
      <c r="D1" s="109"/>
      <c r="E1" s="11" t="s">
        <v>56</v>
      </c>
      <c r="F1" s="119" t="s">
        <v>192</v>
      </c>
      <c r="G1" s="62"/>
      <c r="H1" s="63"/>
      <c r="I1" s="12" t="s">
        <v>179</v>
      </c>
      <c r="J1" s="120">
        <f ca="1">TODAY()</f>
        <v>45300</v>
      </c>
      <c r="K1" s="120"/>
      <c r="L1" s="121"/>
      <c r="M1" s="29"/>
      <c r="N1" s="11" t="s">
        <v>55</v>
      </c>
      <c r="O1" s="108" t="str">
        <f>B1</f>
        <v>PB30038040AS0</v>
      </c>
      <c r="P1" s="108"/>
      <c r="Q1" s="109"/>
      <c r="R1" s="11" t="s">
        <v>56</v>
      </c>
      <c r="S1" s="108" t="str">
        <f>F1</f>
        <v>BUSHIES SEAFOOD</v>
      </c>
      <c r="T1" s="108"/>
      <c r="U1" s="109"/>
      <c r="V1" s="11" t="s">
        <v>179</v>
      </c>
      <c r="W1" s="120">
        <f ca="1">J1</f>
        <v>45300</v>
      </c>
      <c r="X1" s="120"/>
      <c r="Y1" s="121"/>
    </row>
    <row r="2" spans="1:25" ht="20.100000000000001" customHeight="1" x14ac:dyDescent="0.25">
      <c r="A2" s="11" t="s">
        <v>99</v>
      </c>
      <c r="B2" s="108" t="str">
        <f>IF(U10="","",U10)</f>
        <v/>
      </c>
      <c r="C2" s="108"/>
      <c r="D2" s="109"/>
      <c r="E2" s="11" t="s">
        <v>57</v>
      </c>
      <c r="F2" s="62">
        <v>946792</v>
      </c>
      <c r="G2" s="62"/>
      <c r="H2" s="63"/>
      <c r="I2" s="11" t="s">
        <v>58</v>
      </c>
      <c r="J2" s="123">
        <v>45257</v>
      </c>
      <c r="K2" s="62"/>
      <c r="L2" s="63"/>
      <c r="M2" s="29"/>
      <c r="N2" s="11" t="s">
        <v>99</v>
      </c>
      <c r="O2" s="108" t="str">
        <f>IF(B2="","",B2)</f>
        <v/>
      </c>
      <c r="P2" s="108"/>
      <c r="Q2" s="109"/>
      <c r="R2" s="11" t="s">
        <v>57</v>
      </c>
      <c r="S2" s="108">
        <f>IF(F2="","",F2)</f>
        <v>946792</v>
      </c>
      <c r="T2" s="108"/>
      <c r="U2" s="109"/>
      <c r="V2" s="11" t="s">
        <v>58</v>
      </c>
      <c r="W2" s="122">
        <f>J2</f>
        <v>45257</v>
      </c>
      <c r="X2" s="108"/>
      <c r="Y2" s="109"/>
    </row>
    <row r="3" spans="1:25" ht="20.100000000000001" customHeight="1" x14ac:dyDescent="0.25">
      <c r="A3" s="110" t="s">
        <v>195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LINE CARTON WITH BLUE LINER - MUST HAVE WATER TIGHT SEALS.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48</v>
      </c>
      <c r="B7" s="100" t="s">
        <v>161</v>
      </c>
      <c r="C7" s="100"/>
      <c r="D7" s="100"/>
      <c r="E7" s="100"/>
      <c r="F7" s="100"/>
      <c r="G7" s="100"/>
      <c r="H7" s="100"/>
      <c r="I7" s="101"/>
      <c r="J7" s="67" t="s">
        <v>177</v>
      </c>
      <c r="K7" s="67"/>
      <c r="L7" s="68"/>
      <c r="M7" s="29"/>
      <c r="N7" s="11" t="str">
        <f>IF(ISNUMBER(SEARCH("roll",O8,1)),"No. Rolls","No. Cartons")</f>
        <v>No. Cartons</v>
      </c>
      <c r="O7" s="62">
        <v>15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08">
        <f>R7*O7</f>
        <v>15000</v>
      </c>
      <c r="V7" s="109"/>
      <c r="W7" s="11" t="s">
        <v>101</v>
      </c>
      <c r="X7" s="62" t="s">
        <v>22</v>
      </c>
      <c r="Y7" s="63"/>
    </row>
    <row r="8" spans="1:25" ht="20.100000000000001" customHeight="1" x14ac:dyDescent="0.25">
      <c r="A8" s="13" t="s">
        <v>15</v>
      </c>
      <c r="B8" s="96">
        <f>R9</f>
        <v>300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51</v>
      </c>
      <c r="H8" s="96">
        <f>(IF(V9&lt;30,"30",V9))</f>
        <v>40</v>
      </c>
      <c r="I8" s="97"/>
      <c r="J8" s="11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53</v>
      </c>
      <c r="O8" s="98" t="s">
        <v>162</v>
      </c>
      <c r="P8" s="99"/>
      <c r="Q8" s="14" t="s">
        <v>187</v>
      </c>
      <c r="R8" s="15" t="s">
        <v>15</v>
      </c>
      <c r="S8" s="15"/>
      <c r="T8" s="15" t="s">
        <v>78</v>
      </c>
      <c r="U8" s="15"/>
      <c r="V8" s="15" t="s">
        <v>79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6" t="s">
        <v>47</v>
      </c>
      <c r="B9" s="126" t="s">
        <v>194</v>
      </c>
      <c r="C9" s="127"/>
      <c r="D9" s="134" t="str">
        <f>IF(K10="Middle","RUN 2 UP",IF(AND(O8="Centrefold Roll",B8=380),"RUN 2 UP",""))</f>
        <v/>
      </c>
      <c r="E9" s="100"/>
      <c r="F9" s="101"/>
      <c r="G9" s="16" t="s">
        <v>47</v>
      </c>
      <c r="H9" s="126" t="s">
        <v>193</v>
      </c>
      <c r="I9" s="127"/>
      <c r="J9" s="11" t="s">
        <v>54</v>
      </c>
      <c r="K9" s="62" t="s">
        <v>29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300</v>
      </c>
      <c r="S9" s="18" t="s">
        <v>77</v>
      </c>
      <c r="T9" s="30">
        <v>380</v>
      </c>
      <c r="U9" s="18" t="s">
        <v>77</v>
      </c>
      <c r="V9" s="30">
        <v>40</v>
      </c>
      <c r="W9" s="17"/>
      <c r="X9" s="88"/>
      <c r="Y9" s="89"/>
    </row>
    <row r="10" spans="1:25" ht="20.100000000000001" customHeight="1" x14ac:dyDescent="0.25">
      <c r="A10" s="11" t="s">
        <v>50</v>
      </c>
      <c r="B10" s="62">
        <v>5</v>
      </c>
      <c r="C10" s="63"/>
      <c r="D10" s="47" t="s">
        <v>133</v>
      </c>
      <c r="E10" s="128">
        <f>IF(ISNUMBER(SEARCH("sheet",O8,1)),((R9*T9*H8/540000)*U7/2000*1.3),((R9*T9*H8/540000)*U7/1000*1.08))</f>
        <v>136.80000000000001</v>
      </c>
      <c r="F10" s="129"/>
      <c r="G10" s="11" t="s">
        <v>52</v>
      </c>
      <c r="H10" s="132">
        <f>IF(ISNUMBER(SEARCH("sheet",O8,1)),(U7*T9/2000*1.08),(U7*T9/1000*1.08))</f>
        <v>6156</v>
      </c>
      <c r="I10" s="133"/>
      <c r="J10" s="11" t="s">
        <v>40</v>
      </c>
      <c r="K10" s="62" t="s">
        <v>43</v>
      </c>
      <c r="L10" s="63"/>
      <c r="M10" s="29"/>
      <c r="N10" s="14" t="s">
        <v>140</v>
      </c>
      <c r="O10" s="98" t="s">
        <v>43</v>
      </c>
      <c r="P10" s="99"/>
      <c r="Q10" s="14" t="s">
        <v>49</v>
      </c>
      <c r="R10" s="94" t="str">
        <f>IF(K11="NONE","None",IF(K11="INLINE","Yes",IF(K11="OUT OF LINE","Yes")))</f>
        <v>None</v>
      </c>
      <c r="S10" s="94"/>
      <c r="T10" s="14" t="s">
        <v>99</v>
      </c>
      <c r="U10" s="104"/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/>
      <c r="C11" s="109"/>
      <c r="D11" s="11" t="s">
        <v>134</v>
      </c>
      <c r="E11" s="130">
        <f>E10/B10</f>
        <v>27.360000000000003</v>
      </c>
      <c r="F11" s="131"/>
      <c r="G11" s="11" t="s">
        <v>14</v>
      </c>
      <c r="H11" s="130">
        <f>H10/B10</f>
        <v>1231.2</v>
      </c>
      <c r="I11" s="131"/>
      <c r="J11" s="11" t="s">
        <v>49</v>
      </c>
      <c r="K11" s="62" t="s">
        <v>43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12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70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67</v>
      </c>
      <c r="B13" s="62" t="s">
        <v>43</v>
      </c>
      <c r="C13" s="62"/>
      <c r="D13" s="63"/>
      <c r="E13" s="19" t="s">
        <v>60</v>
      </c>
      <c r="F13" s="62" t="s">
        <v>43</v>
      </c>
      <c r="G13" s="62"/>
      <c r="H13" s="63"/>
      <c r="I13" s="11" t="s">
        <v>61</v>
      </c>
      <c r="J13" s="62" t="s">
        <v>43</v>
      </c>
      <c r="K13" s="62"/>
      <c r="L13" s="63"/>
      <c r="M13" s="29"/>
      <c r="N13" s="11" t="s">
        <v>71</v>
      </c>
      <c r="O13" s="31" t="s">
        <v>76</v>
      </c>
      <c r="P13" s="11" t="s">
        <v>72</v>
      </c>
      <c r="Q13" s="20">
        <f>O7</f>
        <v>15</v>
      </c>
      <c r="R13" s="11" t="s">
        <v>73</v>
      </c>
      <c r="S13" s="31" t="s">
        <v>22</v>
      </c>
      <c r="T13" s="11" t="s">
        <v>176</v>
      </c>
      <c r="U13" s="20" t="str">
        <f>IF(S13="No","",(ROUNDUP(U7/W13/24,0)))</f>
        <v/>
      </c>
      <c r="V13" s="11" t="s">
        <v>74</v>
      </c>
      <c r="W13" s="31" t="str">
        <f>IF(AND((O17="LOOSE"),(NOT(O18="BUNDLE"))),"",IF(AND((O17="LINED"),(NOT(O18="BUNDLE"))),"",(IF(R7&lt;=500,"50",IF(R7&gt;500,"100")))))</f>
        <v/>
      </c>
      <c r="X13" s="11" t="s">
        <v>75</v>
      </c>
      <c r="Y13" s="32"/>
    </row>
    <row r="14" spans="1:25" ht="20.100000000000001" customHeight="1" x14ac:dyDescent="0.3">
      <c r="A14" s="13" t="s">
        <v>59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109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107</v>
      </c>
      <c r="O15" s="67"/>
      <c r="P15" s="68"/>
      <c r="Q15" s="66" t="s">
        <v>106</v>
      </c>
      <c r="R15" s="67"/>
      <c r="S15" s="68"/>
      <c r="T15" s="66" t="s">
        <v>117</v>
      </c>
      <c r="U15" s="67"/>
      <c r="V15" s="68"/>
      <c r="W15" s="66" t="s">
        <v>116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141</v>
      </c>
      <c r="D16" s="68"/>
      <c r="E16" s="147" t="s">
        <v>4</v>
      </c>
      <c r="F16" s="147"/>
      <c r="G16" s="147" t="s">
        <v>5</v>
      </c>
      <c r="H16" s="147"/>
      <c r="I16" s="67" t="s">
        <v>10</v>
      </c>
      <c r="J16" s="68"/>
      <c r="K16" s="67" t="s">
        <v>11</v>
      </c>
      <c r="L16" s="68"/>
      <c r="M16" s="29"/>
      <c r="N16" s="11" t="s">
        <v>27</v>
      </c>
      <c r="O16" s="62">
        <v>110</v>
      </c>
      <c r="P16" s="63"/>
      <c r="Q16" s="11" t="s">
        <v>104</v>
      </c>
      <c r="R16" s="62" t="s">
        <v>30</v>
      </c>
      <c r="S16" s="63"/>
      <c r="T16" s="12" t="s">
        <v>102</v>
      </c>
      <c r="U16" s="62" t="s">
        <v>30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145</v>
      </c>
      <c r="D17" s="93"/>
      <c r="E17" s="59"/>
      <c r="F17" s="60"/>
      <c r="G17" s="48" t="s">
        <v>80</v>
      </c>
      <c r="H17" s="32"/>
      <c r="I17" s="59"/>
      <c r="J17" s="60"/>
      <c r="K17" s="59"/>
      <c r="L17" s="60"/>
      <c r="M17" s="29"/>
      <c r="N17" s="11" t="s">
        <v>25</v>
      </c>
      <c r="O17" s="62" t="s">
        <v>36</v>
      </c>
      <c r="P17" s="63"/>
      <c r="Q17" s="11" t="s">
        <v>103</v>
      </c>
      <c r="R17" s="62" t="s">
        <v>30</v>
      </c>
      <c r="S17" s="63"/>
      <c r="T17" s="12" t="str">
        <f>IF(ISNUMBER(SEARCH("roll",O8,1)),"Part Rolls","Part Ctns")</f>
        <v>Part Ctns</v>
      </c>
      <c r="U17" s="62" t="s">
        <v>30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144</v>
      </c>
      <c r="D18" s="93"/>
      <c r="E18" s="59"/>
      <c r="F18" s="60"/>
      <c r="G18" s="48" t="s">
        <v>81</v>
      </c>
      <c r="H18" s="32"/>
      <c r="I18" s="59"/>
      <c r="J18" s="60"/>
      <c r="K18" s="59"/>
      <c r="L18" s="60"/>
      <c r="M18" s="29"/>
      <c r="N18" s="11" t="s">
        <v>100</v>
      </c>
      <c r="O18" s="62" t="s">
        <v>37</v>
      </c>
      <c r="P18" s="63"/>
      <c r="Q18" s="11" t="s">
        <v>105</v>
      </c>
      <c r="R18" s="62" t="s">
        <v>30</v>
      </c>
      <c r="S18" s="63"/>
      <c r="T18" s="21" t="s">
        <v>26</v>
      </c>
      <c r="U18" s="62" t="s">
        <v>35</v>
      </c>
      <c r="V18" s="63"/>
      <c r="W18" s="11" t="s">
        <v>108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143</v>
      </c>
      <c r="D19" s="93"/>
      <c r="E19" s="59"/>
      <c r="F19" s="60"/>
      <c r="G19" s="48" t="s">
        <v>82</v>
      </c>
      <c r="H19" s="32"/>
      <c r="I19" s="59"/>
      <c r="J19" s="60"/>
      <c r="K19" s="59"/>
      <c r="L19" s="60"/>
      <c r="M19" s="29"/>
      <c r="N19" s="75" t="s">
        <v>115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142</v>
      </c>
      <c r="D20" s="93"/>
      <c r="E20" s="59"/>
      <c r="F20" s="60"/>
      <c r="G20" s="48" t="s">
        <v>83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/>
      <c r="B21" s="61"/>
      <c r="C21" s="92"/>
      <c r="D21" s="93"/>
      <c r="E21" s="59"/>
      <c r="F21" s="60"/>
      <c r="G21" s="48" t="s">
        <v>84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">
        <v>197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AS</v>
      </c>
      <c r="D22" s="93"/>
      <c r="E22" s="59" t="s">
        <v>198</v>
      </c>
      <c r="F22" s="60"/>
      <c r="G22" s="48" t="s">
        <v>85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8" t="s">
        <v>199</v>
      </c>
      <c r="B23" s="14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 t="s">
        <v>198</v>
      </c>
      <c r="F23" s="60"/>
      <c r="G23" s="48" t="s">
        <v>86</v>
      </c>
      <c r="H23" s="32"/>
      <c r="I23" s="59"/>
      <c r="J23" s="60"/>
      <c r="K23" s="59"/>
      <c r="L23" s="60"/>
      <c r="M23" s="29"/>
      <c r="N23" s="69" t="s">
        <v>132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9"/>
      <c r="B24" s="15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87</v>
      </c>
      <c r="H24" s="32"/>
      <c r="I24" s="59"/>
      <c r="J24" s="60"/>
      <c r="K24" s="59"/>
      <c r="L24" s="60"/>
      <c r="M24" s="29"/>
      <c r="N24" s="33"/>
      <c r="O24" s="22" t="s">
        <v>118</v>
      </c>
      <c r="P24" s="22" t="s">
        <v>128</v>
      </c>
      <c r="Q24" s="22" t="s">
        <v>119</v>
      </c>
      <c r="R24" s="22" t="s">
        <v>120</v>
      </c>
      <c r="S24" s="22" t="s">
        <v>121</v>
      </c>
      <c r="T24" s="22" t="s">
        <v>122</v>
      </c>
      <c r="U24" s="22" t="s">
        <v>123</v>
      </c>
      <c r="V24" s="22" t="s">
        <v>124</v>
      </c>
      <c r="W24" s="22" t="s">
        <v>125</v>
      </c>
      <c r="X24" s="22" t="s">
        <v>126</v>
      </c>
      <c r="Y24" s="22" t="s">
        <v>174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95</v>
      </c>
      <c r="O25" s="10" t="s">
        <v>196</v>
      </c>
      <c r="P25" s="34"/>
      <c r="Q25" s="10">
        <v>28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3"/>
      <c r="B26" s="22" t="s">
        <v>178</v>
      </c>
      <c r="C26" s="22" t="s">
        <v>91</v>
      </c>
      <c r="D26" s="24" t="s">
        <v>89</v>
      </c>
      <c r="E26" s="24" t="s">
        <v>90</v>
      </c>
      <c r="F26" s="24" t="s">
        <v>92</v>
      </c>
      <c r="G26" s="91" t="s">
        <v>131</v>
      </c>
      <c r="H26" s="91"/>
      <c r="I26" s="91" t="s">
        <v>130</v>
      </c>
      <c r="J26" s="91"/>
      <c r="K26" s="24" t="s">
        <v>93</v>
      </c>
      <c r="L26" s="24" t="s">
        <v>94</v>
      </c>
      <c r="M26" s="29"/>
      <c r="N26" s="72" t="s">
        <v>136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95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180</v>
      </c>
      <c r="O27" s="24" t="s">
        <v>20</v>
      </c>
      <c r="P27" s="24" t="s">
        <v>16</v>
      </c>
      <c r="Q27" s="24" t="s">
        <v>13</v>
      </c>
      <c r="R27" s="24" t="s">
        <v>127</v>
      </c>
      <c r="S27" s="24" t="s">
        <v>128</v>
      </c>
      <c r="T27" s="24" t="s">
        <v>111</v>
      </c>
      <c r="U27" s="24" t="s">
        <v>129</v>
      </c>
      <c r="V27" s="24" t="s">
        <v>115</v>
      </c>
      <c r="W27" s="24" t="s">
        <v>188</v>
      </c>
      <c r="X27" s="24" t="s">
        <v>189</v>
      </c>
      <c r="Y27" s="24" t="s">
        <v>21</v>
      </c>
    </row>
    <row r="28" spans="1:25" ht="20.100000000000001" customHeight="1" x14ac:dyDescent="0.25">
      <c r="A28" s="22" t="s">
        <v>96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98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114</v>
      </c>
      <c r="B30" s="35"/>
      <c r="C30" s="32"/>
      <c r="D30" s="12" t="s">
        <v>91</v>
      </c>
      <c r="E30" s="36"/>
      <c r="F30" s="32"/>
      <c r="G30" s="26" t="s">
        <v>97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113</v>
      </c>
      <c r="B31" s="35"/>
      <c r="C31" s="32"/>
      <c r="D31" s="12" t="s">
        <v>111</v>
      </c>
      <c r="E31" s="36"/>
      <c r="F31" s="40"/>
      <c r="G31" s="12" t="s">
        <v>97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1"/>
      <c r="C32" s="39"/>
      <c r="D32" s="27" t="s">
        <v>88</v>
      </c>
      <c r="E32" s="37"/>
      <c r="F32" s="39"/>
      <c r="G32" s="27" t="s">
        <v>110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5" t="s">
        <v>115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4" t="s">
        <v>135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13</v>
      </c>
      <c r="B37" s="1" t="s">
        <v>20</v>
      </c>
      <c r="C37" s="24" t="s">
        <v>134</v>
      </c>
      <c r="D37" s="24" t="s">
        <v>14</v>
      </c>
      <c r="E37" s="24" t="s">
        <v>15</v>
      </c>
      <c r="F37" s="24" t="s">
        <v>51</v>
      </c>
      <c r="G37" s="28" t="s">
        <v>16</v>
      </c>
      <c r="H37" s="28" t="s">
        <v>17</v>
      </c>
      <c r="I37" s="25" t="s">
        <v>28</v>
      </c>
      <c r="J37" s="24" t="s">
        <v>18</v>
      </c>
      <c r="K37" s="24" t="s">
        <v>19</v>
      </c>
      <c r="L37" s="24" t="s">
        <v>21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13</v>
      </c>
      <c r="B44" s="22" t="s">
        <v>20</v>
      </c>
      <c r="C44" s="24" t="s">
        <v>134</v>
      </c>
      <c r="D44" s="24" t="s">
        <v>14</v>
      </c>
      <c r="E44" s="24" t="s">
        <v>15</v>
      </c>
      <c r="F44" s="24" t="s">
        <v>51</v>
      </c>
      <c r="G44" s="28" t="s">
        <v>16</v>
      </c>
      <c r="H44" s="28" t="s">
        <v>17</v>
      </c>
      <c r="I44" s="24" t="s">
        <v>28</v>
      </c>
      <c r="J44" s="24" t="s">
        <v>18</v>
      </c>
      <c r="K44" s="24" t="s">
        <v>19</v>
      </c>
      <c r="L44" s="24" t="s">
        <v>21</v>
      </c>
      <c r="N44" s="24" t="s">
        <v>180</v>
      </c>
      <c r="O44" s="24" t="s">
        <v>20</v>
      </c>
      <c r="P44" s="24" t="s">
        <v>16</v>
      </c>
      <c r="Q44" s="24" t="s">
        <v>13</v>
      </c>
      <c r="R44" s="24" t="s">
        <v>127</v>
      </c>
      <c r="S44" s="24" t="s">
        <v>128</v>
      </c>
      <c r="T44" s="24" t="s">
        <v>111</v>
      </c>
      <c r="U44" s="24" t="s">
        <v>129</v>
      </c>
      <c r="V44" s="24" t="s">
        <v>115</v>
      </c>
      <c r="W44" s="24" t="s">
        <v>188</v>
      </c>
      <c r="X44" s="24" t="s">
        <v>189</v>
      </c>
      <c r="Y44" s="24" t="s">
        <v>21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dataValidations count="1">
    <dataValidation allowBlank="1" showInputMessage="1" sqref="A3:L5" xr:uid="{EE556D21-C39F-46E4-90AE-31D30BC8293B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45331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45321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161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175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148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149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151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172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191</v>
      </c>
      <c r="T19" s="1"/>
      <c r="V19" s="1"/>
    </row>
    <row r="20" spans="1:23" x14ac:dyDescent="0.25">
      <c r="A20" s="55" t="s">
        <v>154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164</v>
      </c>
      <c r="T20" s="1"/>
      <c r="V20" s="1"/>
    </row>
    <row r="21" spans="1:23" x14ac:dyDescent="0.25">
      <c r="A21" s="55" t="s">
        <v>155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165</v>
      </c>
      <c r="T21" s="1"/>
      <c r="V21" s="1"/>
      <c r="W21" s="2"/>
    </row>
    <row r="22" spans="1:23" x14ac:dyDescent="0.25">
      <c r="A22" s="55" t="s">
        <v>156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157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140</v>
      </c>
      <c r="T23" s="1"/>
      <c r="V23" s="1"/>
      <c r="W23" s="2"/>
    </row>
    <row r="24" spans="1:23" x14ac:dyDescent="0.25">
      <c r="A24" s="55" t="s">
        <v>158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159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184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185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139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27</v>
      </c>
      <c r="U30" s="1"/>
      <c r="V30" s="1"/>
    </row>
    <row r="31" spans="1:23" x14ac:dyDescent="0.25">
      <c r="A31" s="5" t="s">
        <v>29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166</v>
      </c>
      <c r="U31" s="1"/>
      <c r="V31" s="1"/>
    </row>
    <row r="32" spans="1:23" x14ac:dyDescent="0.25">
      <c r="A32" s="5" t="s">
        <v>33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167</v>
      </c>
      <c r="U36" s="1"/>
      <c r="V36" s="1"/>
    </row>
    <row r="37" spans="1:22" x14ac:dyDescent="0.25">
      <c r="A37" s="5" t="s">
        <v>42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168</v>
      </c>
      <c r="U37" s="1"/>
      <c r="V37" s="1"/>
    </row>
    <row r="38" spans="1:22" x14ac:dyDescent="0.25">
      <c r="A38" s="5" t="s">
        <v>44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37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62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25</v>
      </c>
    </row>
    <row r="41" spans="1:22" x14ac:dyDescent="0.25">
      <c r="A41" s="5" t="s">
        <v>43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34</v>
      </c>
    </row>
    <row r="42" spans="1:22" x14ac:dyDescent="0.25">
      <c r="A42" s="5" t="s">
        <v>64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36</v>
      </c>
    </row>
    <row r="43" spans="1:22" x14ac:dyDescent="0.25">
      <c r="A43" s="5" t="s">
        <v>63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169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67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100</v>
      </c>
    </row>
    <row r="46" spans="1:22" x14ac:dyDescent="0.25">
      <c r="A46" s="5" t="s">
        <v>43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37</v>
      </c>
    </row>
    <row r="47" spans="1:22" x14ac:dyDescent="0.25">
      <c r="A47" s="5" t="s">
        <v>69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31</v>
      </c>
    </row>
    <row r="48" spans="1:22" x14ac:dyDescent="0.25">
      <c r="A48" s="5" t="s">
        <v>68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170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181</v>
      </c>
    </row>
    <row r="50" spans="1:20" x14ac:dyDescent="0.25">
      <c r="A50" s="57" t="s">
        <v>60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183</v>
      </c>
    </row>
    <row r="51" spans="1:20" x14ac:dyDescent="0.25">
      <c r="A51" s="5" t="s">
        <v>43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65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171</v>
      </c>
    </row>
    <row r="53" spans="1:20" x14ac:dyDescent="0.25">
      <c r="A53" s="5" t="s">
        <v>66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30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22</v>
      </c>
    </row>
    <row r="55" spans="1:20" x14ac:dyDescent="0.25">
      <c r="A55" s="56" t="s">
        <v>61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43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26</v>
      </c>
    </row>
    <row r="57" spans="1:20" x14ac:dyDescent="0.25">
      <c r="A57" s="54" t="s">
        <v>175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35</v>
      </c>
      <c r="O57" s="1"/>
      <c r="P57" s="1"/>
      <c r="Q57" s="1"/>
      <c r="R57" s="1"/>
      <c r="S57" s="1"/>
      <c r="T57" s="1"/>
    </row>
    <row r="58" spans="1:20" x14ac:dyDescent="0.25">
      <c r="A58" s="55" t="s">
        <v>153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32</v>
      </c>
    </row>
    <row r="59" spans="1:20" x14ac:dyDescent="0.25">
      <c r="A59" s="55" t="s">
        <v>146</v>
      </c>
    </row>
    <row r="60" spans="1:20" x14ac:dyDescent="0.25">
      <c r="A60" s="55" t="s">
        <v>147</v>
      </c>
      <c r="O60" s="1"/>
      <c r="Q60" s="1"/>
      <c r="R60" s="3"/>
      <c r="S60" s="1"/>
    </row>
    <row r="61" spans="1:20" x14ac:dyDescent="0.25">
      <c r="A61" s="55" t="s">
        <v>148</v>
      </c>
      <c r="O61" s="1"/>
      <c r="Q61" s="1"/>
      <c r="R61" s="1"/>
      <c r="S61" s="1"/>
    </row>
    <row r="62" spans="1:20" x14ac:dyDescent="0.25">
      <c r="A62" s="55" t="s">
        <v>149</v>
      </c>
      <c r="O62" s="1"/>
      <c r="Q62" s="1"/>
      <c r="R62" s="1"/>
      <c r="S62" s="1"/>
    </row>
    <row r="63" spans="1:20" x14ac:dyDescent="0.25">
      <c r="A63" s="55" t="s">
        <v>150</v>
      </c>
      <c r="O63" s="1"/>
      <c r="Q63" s="1"/>
      <c r="R63" s="1"/>
      <c r="S63" s="1"/>
      <c r="T63" s="1"/>
    </row>
    <row r="64" spans="1:20" x14ac:dyDescent="0.25">
      <c r="A64" s="55" t="s">
        <v>151</v>
      </c>
      <c r="O64" s="1"/>
      <c r="Q64" s="1"/>
      <c r="R64" s="1"/>
      <c r="S64" s="1"/>
      <c r="T64" s="1"/>
    </row>
    <row r="65" spans="1:20" x14ac:dyDescent="0.25">
      <c r="A65" s="55" t="s">
        <v>172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152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859CBDB-EBD6-4F20-B1D4-B4ABC36B44CB}"/>
</file>

<file path=customXml/itemProps2.xml><?xml version="1.0" encoding="utf-8"?>
<ds:datastoreItem xmlns:ds="http://schemas.openxmlformats.org/officeDocument/2006/customXml" ds:itemID="{D8E46662-A8FA-46DE-A649-2E2E09176320}"/>
</file>

<file path=customXml/itemProps3.xml><?xml version="1.0" encoding="utf-8"?>
<ds:datastoreItem xmlns:ds="http://schemas.openxmlformats.org/officeDocument/2006/customXml" ds:itemID="{B1E6AEFF-1873-4E8C-A83C-B17FAD8BF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2023-11-06T01:00:31Z</cp:lastPrinted>
  <dcterms:created xsi:type="dcterms:W3CDTF">2019-11-27T23:28:06Z</dcterms:created>
  <dcterms:modified xsi:type="dcterms:W3CDTF">2024-01-08T22:37:40Z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