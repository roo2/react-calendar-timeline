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0AA80AA-DC09-4D04-BF2F-CF8B5EE13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<sst xmlns="http://schemas.openxmlformats.org/spreadsheetml/2006/main" count="302" uniqueCount="200">
  <si>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</si>
  <si>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</si>
  <si>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</si>
  <si>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</si>
  <si>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</si>
  <si>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</si>
  <si>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</si>
  <si>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</si>
  <si>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</si>
  <si>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</si>
  <si>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</si>
  <si>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</si>
  <si>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</si>
  <si>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</si>
  <si>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</si>
  <si>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</si>
  <si>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</si>
  <si>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</si>
  <si>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</si>
  <si>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</si>
  <si>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</si>
  <si>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</si>
  <si>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</si>
  <si>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</si>
  <si>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</si>
  <si>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</si>
  <si>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</si>
  <si>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</si>
  <si>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</si>
  <si>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</si>
  <si>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</si>
  <si>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</si>
  <si>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</si>
  <si>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</si>
  <si>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</si>
  <si>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</si>
  <si>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</si>
  <si>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</si>
  <si>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</si>
  <si>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</si>
  <si>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</si>
  <si>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</si>
  <si>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</si>
  <si>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</si>
  <si>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</si>
  <si>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</si>
  <si>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</si>
  <si>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</si>
  <si>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</si>
  <si>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</si>
  <si>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</si>
  <si>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</si>
  <si>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</si>
  <si>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</si>
  <si>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</si>
  <si>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</si>
  <si>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</si>
  <si>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</si>
  <si>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</si>
  <si>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</si>
  <si>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</si>
  <si>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</si>
  <si>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</si>
  <si>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</si>
  <si>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</si>
  <si>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</si>
  <si>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</si>
  <si>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</si>
  <si>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</si>
  <si>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</si>
  <si>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</si>
  <si>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</si>
  <si>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</si>
  <si>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</si>
  <si>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</si>
  <si>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</si>
  <si>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</si>
  <si>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</si>
  <si>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</si>
  <si>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</si>
  <si>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</si>
  <si>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</si>
  <si>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</si>
  <si>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</si>
  <si>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</si>
  <si>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</si>
  <si>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</si>
  <si>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</si>
  <si>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</si>
  <si>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</si>
  <si>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</si>
  <si>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</si>
  <si>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</si>
  <si>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</si>
  <si>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</si>
  <si>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</si>
  <si>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</si>
  <si>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</si>
  <si>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</si>
  <si>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</si>
  <si>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</si>
  <si>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</si>
  <si>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</si>
  <si>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</si>
  <si>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</si>
  <si>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</si>
  <si>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</si>
  <si>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</si>
  <si>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</si>
  <si>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</si>
  <si>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</si>
  <si>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</si>
  <si>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</si>
  <si>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</si>
  <si>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</si>
  <si>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</si>
  <si>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</si>
  <si>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</si>
  <si>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</si>
  <si>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</si>
  <si>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</si>
  <si>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</si>
  <si>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</si>
  <si>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</si>
  <si>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</si>
  <si>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</si>
  <si>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</si>
  <si>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</si>
  <si>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</si>
  <si>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</si>
  <si>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</si>
  <si>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</si>
  <si>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</si>
  <si>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</si>
  <si>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</si>
  <si>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</si>
  <si>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</si>
  <si>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</si>
  <si>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</si>
  <si>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</si>
  <si>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</si>
  <si>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</si>
  <si>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</si>
  <si>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</si>
  <si>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</si>
  <si>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</si>
  <si>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</si>
  <si>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</si>
  <si>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</si>
  <si>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</si>
  <si>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</si>
  <si>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</si>
  <si>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</si>
  <si>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</si>
  <si>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</si>
  <si>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</si>
  <si>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</si>
  <si>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</si>
  <si>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</si>
  <si>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</si>
  <si>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</si>
  <si>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</si>
  <si>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</si>
  <si>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</si>
  <si>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</si>
  <si>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</si>
  <si>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</si>
  <si>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</si>
  <si>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</si>
  <si>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</si>
  <si>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</si>
  <si>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</si>
  <si>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</si>
  <si>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</si>
  <si>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</si>
  <si>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</si>
  <si>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</si>
  <si>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</si>
  <si>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</si>
  <si>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</si>
  <si>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</si>
  <si>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</si>
  <si>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</si>
  <si>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</si>
  <si>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</si>
  <si>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</si>
  <si>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</si>
  <si>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</si>
  <si>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</si>
  <si>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</si>
  <si>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</si>
  <si>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</si>
  <si>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</si>
  <si>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</si>
  <si>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</si>
  <si>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</si>
  <si>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ADVANTAGE AIR</t>
  </si>
  <si>
    <t>UD256</t>
  </si>
  <si>
    <t>BLACK TINT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</si>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</sst>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PBR7001800350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44365</v>
      </c>
      <c r="K1" s="95"/>
      <c r="L1" s="96"/>
      <c r="M1" s="34"/>
      <c r="N1" s="12" t="s">
        <v>56</v>
      </c>
      <c r="O1" s="122" t="str">
        <f>B1</f>
        <v>PBR7001800350</v>
      </c>
      <c r="P1" s="122"/>
      <c r="Q1" s="123"/>
      <c r="R1" s="12" t="s">
        <v>57</v>
      </c>
      <c r="S1" s="122" t="str">
        <f>F1</f>
        <v>ADVANTAGE AIR</v>
      </c>
      <c r="T1" s="122"/>
      <c r="U1" s="123"/>
      <c r="V1" s="12" t="s">
        <v>181</v>
      </c>
      <c r="W1" s="95">
        <f ca="1">J1</f>
        <v>44365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UD256</v>
      </c>
      <c r="C2" s="122"/>
      <c r="D2" s="123"/>
      <c r="E2" s="12" t="s">
        <v>58</v>
      </c>
      <c r="F2" s="98">
        <v>940168</v>
      </c>
      <c r="G2" s="98"/>
      <c r="H2" s="99"/>
      <c r="I2" s="12" t="s">
        <v>59</v>
      </c>
      <c r="J2" s="97">
        <v>44345</v>
      </c>
      <c r="K2" s="98"/>
      <c r="L2" s="99"/>
      <c r="M2" s="34"/>
      <c r="N2" s="12" t="s">
        <v>100</v>
      </c>
      <c r="O2" s="122" t="str">
        <f>IF(B2="","",B2)</f>
        <v>UD256</v>
      </c>
      <c r="P2" s="122"/>
      <c r="Q2" s="123"/>
      <c r="R2" s="12" t="s">
        <v>58</v>
      </c>
      <c r="S2" s="122">
        <f>IF(F2="","",F2)</f>
        <v>940168</v>
      </c>
      <c r="T2" s="122"/>
      <c r="U2" s="123"/>
      <c r="V2" s="12" t="s">
        <v>59</v>
      </c>
      <c r="W2" s="135">
        <f>J2</f>
        <v>44345</v>
      </c>
      <c r="X2" s="122"/>
      <c r="Y2" s="123"/>
    </row>
    <row r="3" spans="1:28" ht="20.100000000000001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198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Rolls</v>
      </c>
      <c r="O7" s="98">
        <v>8</v>
      </c>
      <c r="P7" s="99"/>
      <c r="Q7" s="12" t="str">
        <f>IF(ISNUMBER(SEARCH("roll",O8,1)),"Per Roll","Per Carton")</f>
        <v>Per Roll</v>
      </c>
      <c r="R7" s="98">
        <v>245</v>
      </c>
      <c r="S7" s="99"/>
      <c r="T7" s="12" t="str">
        <f>IF(ISNUMBER(SEARCH("bag",O8,1)),"Total Bags","Total Sheets")</f>
        <v>Total Bags</v>
      </c>
      <c r="U7" s="122">
        <f>R7*O7</f>
        <v>1960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700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165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34</v>
      </c>
      <c r="L9" s="99"/>
      <c r="M9" s="34"/>
      <c r="N9" s="19"/>
      <c r="O9" s="140" t="str">
        <f>IF(O8="Poly Bag","PB",IF(O8="Poly Bag Roll","PBR",IF(O8="Centrefold Roll","CFR",IF(O8="Sheet","S",IF(O8="Sheet Roll","SR")))))</f>
        <v>PBR</v>
      </c>
      <c r="P9" s="141"/>
      <c r="Q9" s="19"/>
      <c r="R9" s="35">
        <v>700</v>
      </c>
      <c r="S9" s="20" t="s">
        <v>78</v>
      </c>
      <c r="T9" s="35">
        <v>1800</v>
      </c>
      <c r="U9" s="20" t="s">
        <v>78</v>
      </c>
      <c r="V9" s="35">
        <v>35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172.87200000000004</v>
      </c>
      <c r="F10" s="113"/>
      <c r="G10" s="12" t="s">
        <v>53</v>
      </c>
      <c r="H10" s="116">
        <f>IF(ISNUMBER(SEARCH("sheet",O8,1)),(U7*T9/2000*1.08),(U7*T9/1000*1.08))</f>
        <v>3810.2400000000002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34.574400000000011</v>
      </c>
      <c r="F11" s="115"/>
      <c r="G11" s="12" t="s">
        <v>15</v>
      </c>
      <c r="H11" s="114">
        <f>H10/B10</f>
        <v>762.048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/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/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Rolls</v>
      </c>
      <c r="U17" s="98" t="s">
        <v>31</v>
      </c>
      <c r="V17" s="99"/>
      <c r="W17" s="12" t="str">
        <f>IF(ISNUMBER(SEARCH("roll",O8,1)),"Total Rolls","Total Ctns")</f>
        <v>Total Rolls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/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BLACK TINT</v>
      </c>
      <c r="B22" s="85"/>
      <c r="C22" s="88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12</v>
      </c>
      <c r="R25" s="10">
        <v>8</v>
      </c>
      <c r="S25" s="10">
        <v>1</v>
      </c>
      <c r="T25" s="10">
        <v>8</v>
      </c>
      <c r="U25" s="10"/>
      <c r="V25" s="10"/>
      <c r="W25" s="10">
        <v>150</v>
      </c>
      <c r="X25" s="10">
        <v>150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44395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44386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198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140</v>
      </c>
      <c r="U29" s="1"/>
      <c r="V29" s="1"/>
    </row>
    <row r="30" spans="1:23" x14ac:dyDescent="0.25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7"/>
      <c r="U30" s="1"/>
      <c r="V30" s="1"/>
    </row>
    <row r="31" spans="1:23" x14ac:dyDescent="0.25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6" t="s">
        <v>28</v>
      </c>
      <c r="U31" s="1"/>
      <c r="V31" s="1"/>
    </row>
    <row r="32" spans="1:23" x14ac:dyDescent="0.25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 t="s">
        <v>168</v>
      </c>
      <c r="U32" s="1"/>
      <c r="V32" s="1"/>
    </row>
    <row r="33" spans="1:22" x14ac:dyDescent="0.25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110</v>
      </c>
      <c r="U33" s="1"/>
      <c r="V33" s="1"/>
    </row>
    <row r="34" spans="1:22" x14ac:dyDescent="0.25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130</v>
      </c>
      <c r="U34" s="1"/>
      <c r="V34" s="1"/>
    </row>
    <row r="35" spans="1:22" x14ac:dyDescent="0.25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150</v>
      </c>
      <c r="U35" s="1"/>
      <c r="V35" s="1"/>
    </row>
    <row r="36" spans="1:22" x14ac:dyDescent="0.25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>
        <v>180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170</v>
      </c>
      <c r="U38" s="1"/>
      <c r="V38" s="1"/>
    </row>
    <row r="39" spans="1:22" x14ac:dyDescent="0.25">
      <c r="A39" s="5" t="s">
        <v>45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5" t="s">
        <v>38</v>
      </c>
      <c r="U39" s="1"/>
      <c r="V39" s="1"/>
    </row>
    <row r="40" spans="1:22" x14ac:dyDescent="0.25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22" x14ac:dyDescent="0.25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6" t="s">
        <v>26</v>
      </c>
    </row>
    <row r="42" spans="1:22" x14ac:dyDescent="0.25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35</v>
      </c>
    </row>
    <row r="43" spans="1:22" x14ac:dyDescent="0.25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37</v>
      </c>
    </row>
    <row r="44" spans="1:22" x14ac:dyDescent="0.25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 t="s">
        <v>171</v>
      </c>
    </row>
    <row r="45" spans="1:22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"/>
    </row>
    <row r="46" spans="1:22" x14ac:dyDescent="0.25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6" t="s">
        <v>101</v>
      </c>
    </row>
    <row r="47" spans="1:22" x14ac:dyDescent="0.25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38</v>
      </c>
    </row>
    <row r="48" spans="1:22" x14ac:dyDescent="0.25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32</v>
      </c>
    </row>
    <row r="49" spans="1:20" x14ac:dyDescent="0.25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172</v>
      </c>
    </row>
    <row r="50" spans="1:20" x14ac:dyDescent="0.25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183</v>
      </c>
    </row>
    <row r="51" spans="1:20" x14ac:dyDescent="0.25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5" t="s">
        <v>185</v>
      </c>
    </row>
    <row r="52" spans="1:20" x14ac:dyDescent="0.25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5" t="s">
        <v>173</v>
      </c>
    </row>
    <row r="54" spans="1:20" x14ac:dyDescent="0.25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31</v>
      </c>
    </row>
    <row r="55" spans="1:20" x14ac:dyDescent="0.25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2" t="s">
        <v>23</v>
      </c>
    </row>
    <row r="56" spans="1:20" x14ac:dyDescent="0.25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20" x14ac:dyDescent="0.25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6" t="s">
        <v>27</v>
      </c>
    </row>
    <row r="58" spans="1:20" x14ac:dyDescent="0.25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36</v>
      </c>
      <c r="O58" s="1"/>
      <c r="P58" s="1"/>
      <c r="Q58" s="1"/>
      <c r="R58" s="1"/>
      <c r="S58" s="1"/>
      <c r="T58" s="1"/>
    </row>
    <row r="59" spans="1:20" x14ac:dyDescent="0.25">
      <c r="A59" s="64" t="s">
        <v>155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2" t="s">
        <v>33</v>
      </c>
    </row>
    <row r="60" spans="1:20" x14ac:dyDescent="0.25">
      <c r="A60" s="64" t="s">
        <v>148</v>
      </c>
    </row>
    <row r="61" spans="1:20" x14ac:dyDescent="0.25">
      <c r="A61" s="64" t="s">
        <v>149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B33221C-0B46-43A3-B77D-32CBBB476FEC}"/>
</file>

<file path=customXml/itemProps2.xml><?xml version="1.0" encoding="utf-8"?>
<ds:datastoreItem xmlns:ds="http://schemas.openxmlformats.org/officeDocument/2006/customXml" ds:itemID="{FAEE1480-C31A-4104-826F-E2D289DB9F5F}"/>
</file>

<file path=customXml/itemProps3.xml><?xml version="1.0" encoding="utf-8"?>
<ds:datastoreItem xmlns:ds="http://schemas.openxmlformats.org/officeDocument/2006/customXml" ds:itemID="{0921EE57-6DBB-445D-8483-A544F7FC6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2021-04-29T01:07:06Z</cp:lastPrinted>
  <dcterms:created xsi:type="dcterms:W3CDTF">2019-11-27T23:28:06Z</dcterms:created>
  <dcterms:modified xsi:type="dcterms:W3CDTF">2021-06-17T22:57:16Z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