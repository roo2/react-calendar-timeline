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54EF165-2CA0-43BF-A6FD-ECE57D80AE3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" l="1"/>
  <c r="E8" i="1"/>
  <c r="D9" i="1" l="1"/>
  <c r="E11" i="1" s="1"/>
  <c r="C25" i="1" l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<sst xmlns="http://schemas.openxmlformats.org/spreadsheetml/2006/main" count="227" uniqueCount="169">
  <si>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</si>
  <si>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</si>
  <si>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</si>
  <si>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</si>
  <si>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</si>
  <si>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</si>
  <si>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</si>
  <si>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</si>
  <si>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</si>
  <si>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</si>
  <si>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</si>
  <si>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</si>
  <si>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</si>
  <si>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</si>
  <si>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</si>
  <si>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</si>
  <si>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</si>
  <si>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</si>
  <si>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</si>
  <si>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</si>
  <si>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</si>
  <si>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</si>
  <si>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</si>
  <si>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</si>
  <si>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</si>
  <si>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</si>
  <si>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</si>
  <si>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</si>
  <si>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</si>
  <si>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</si>
  <si>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</si>
  <si>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</si>
  <si>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</si>
  <si>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</si>
  <si>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</si>
  <si>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</si>
  <si>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</si>
  <si>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</si>
  <si>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</si>
  <si>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</si>
  <si>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</si>
  <si>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</si>
  <si>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</si>
  <si>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</si>
  <si>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</si>
  <si>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</si>
  <si>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</si>
  <si>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</si>
  <si>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</si>
  <si>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</si>
  <si>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</si>
  <si>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</si>
  <si>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</si>
  <si>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</si>
  <si>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</si>
  <si>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</si>
  <si>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</si>
  <si>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</si>
  <si>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</si>
  <si>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</si>
  <si>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</si>
  <si>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</si>
  <si>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</si>
  <si>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</si>
  <si>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</si>
  <si>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</si>
  <si>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</si>
  <si>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</si>
  <si>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</si>
  <si>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</si>
  <si>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</si>
  <si>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</si>
  <si>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</si>
  <si>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</si>
  <si>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</si>
  <si>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</si>
  <si>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</si>
  <si>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</si>
  <si>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</si>
  <si>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</si>
  <si>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</si>
  <si>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</si>
  <si>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</si>
  <si>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</si>
  <si>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</si>
  <si>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</si>
  <si>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</si>
  <si>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</si>
  <si>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</si>
  <si>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</si>
  <si>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</si>
  <si>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</si>
  <si>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</si>
  <si>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</si>
  <si>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</si>
  <si>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</si>
  <si>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</si>
  <si>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</si>
  <si>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</si>
  <si>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</si>
  <si>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</si>
  <si>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</si>
  <si>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</si>
  <si>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</si>
  <si>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</si>
  <si>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</si>
  <si>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</si>
  <si>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</si>
  <si>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</si>
  <si>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</si>
  <si>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</si>
  <si>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</si>
  <si>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</si>
  <si>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</si>
  <si>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</si>
  <si>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</si>
  <si>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</si>
  <si>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</si>
  <si>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</si>
  <si>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</si>
  <si>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</si>
  <si>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</si>
  <si>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</si>
  <si>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</si>
  <si>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</si>
  <si>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</si>
  <si>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</si>
  <si>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</si>
  <si>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</si>
  <si>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</si>
  <si>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</si>
  <si>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</si>
  <si>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</si>
  <si>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</si>
  <si>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</si>
  <si>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</si>
  <si>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</si>
  <si>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</si>
  <si>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</si>
  <si>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</si>
  <si>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</si>
  <si>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</si>
  <si>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</si>
  <si>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</si>
  <si>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</si>
  <si>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</si>
  <si>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</si>
  <si>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</si>
  <si>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</si>
  <si>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</si>
  <si>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</si>
  <si>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</si>
  <si>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</si>
  <si>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</si>
  <si>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</si>
  <si>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</si>
  <si>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</si>
  <si>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</si>
  <si>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</si>
  <si>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</si>
  <si>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</si>
  <si>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</si>
  <si>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</si>
  <si>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+/- 10mm</t>
  </si>
  <si>
    <t>NOT UNDER</t>
  </si>
  <si>
    <t xml:space="preserve"> PLEASE ENSURE NEAT ROLLS </t>
  </si>
  <si>
    <t>ANTIBLOCK</t>
  </si>
  <si>
    <t>#65</t>
  </si>
  <si>
    <t>MCCORMICK UPHOLSTERY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</si>
</sst>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J13" sqref="J13:L13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61" t="str">
        <f>IF(B7="Tube","T",IF(B7="Cont Sheet Roll","SR",IF(B7="Cont Centrefold","CFR")))&amp;B8&amp;IF(E8="","",E8)&amp;H8&amp;(IF(K11="INLINE","P",IF(K11="OUT OF LINE","P",IF(K11="NONE",""))))&amp;C24&amp;C25</f>
        <v>CFR1250(2500)350</v>
      </c>
      <c r="C1" s="61"/>
      <c r="D1" s="62"/>
      <c r="E1" s="10" t="s">
        <v>55</v>
      </c>
      <c r="F1" s="51" t="s">
        <v>168</v>
      </c>
      <c r="G1" s="51"/>
      <c r="H1" s="52"/>
      <c r="I1" s="10" t="s">
        <v>148</v>
      </c>
      <c r="J1" s="76">
        <f ca="1">TODAY()</f>
        <v>46097</v>
      </c>
      <c r="K1" s="76"/>
      <c r="L1" s="77"/>
    </row>
    <row r="2" spans="1:14" ht="20.100000000000001" customHeight="1" x14ac:dyDescent="0.25">
      <c r="A2" s="10" t="s">
        <v>94</v>
      </c>
      <c r="B2" s="65" t="str">
        <f>IF(B7="Tube",(ROUNDUP(E11,0)&amp;"KG"),(ROUNDUP(H11,0)&amp;"M"))</f>
        <v>270M</v>
      </c>
      <c r="C2" s="65"/>
      <c r="D2" s="66"/>
      <c r="E2" s="10" t="s">
        <v>56</v>
      </c>
      <c r="F2" s="51">
        <v>950977</v>
      </c>
      <c r="G2" s="51"/>
      <c r="H2" s="52"/>
      <c r="I2" s="10" t="s">
        <v>57</v>
      </c>
      <c r="J2" s="78">
        <v>46106</v>
      </c>
      <c r="K2" s="51"/>
      <c r="L2" s="52"/>
    </row>
    <row r="3" spans="1:14" ht="20.100000000000001" customHeight="1" x14ac:dyDescent="0.25">
      <c r="A3" s="67" t="s">
        <v>165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0" t="s">
        <v>158</v>
      </c>
      <c r="B7" s="51" t="s">
        <v>161</v>
      </c>
      <c r="C7" s="52"/>
      <c r="D7" s="10" t="s">
        <v>47</v>
      </c>
      <c r="E7" s="107" t="s">
        <v>131</v>
      </c>
      <c r="F7" s="107"/>
      <c r="G7" s="107"/>
      <c r="H7" s="107"/>
      <c r="I7" s="107"/>
      <c r="J7" s="91" t="s">
        <v>146</v>
      </c>
      <c r="K7" s="91"/>
      <c r="L7" s="92"/>
    </row>
    <row r="8" spans="1:14" ht="20.100000000000001" customHeight="1" x14ac:dyDescent="0.25">
      <c r="A8" s="11" t="s">
        <v>14</v>
      </c>
      <c r="B8" s="97">
        <v>1250</v>
      </c>
      <c r="C8" s="98"/>
      <c r="D8" s="11" t="str">
        <f>IF(B7="Tube","Gusset","Centrefold")</f>
        <v>Centrefold</v>
      </c>
      <c r="E8" s="93" t="str">
        <f>IF(B7="Cont Centrefold","("&amp;B8*2&amp;")","")</f>
        <v>(2500)</v>
      </c>
      <c r="F8" s="94"/>
      <c r="G8" s="11" t="s">
        <v>50</v>
      </c>
      <c r="H8" s="97">
        <v>35</v>
      </c>
      <c r="I8" s="98"/>
      <c r="J8" s="10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2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2" t="s">
        <v>46</v>
      </c>
      <c r="H9" s="81" t="s">
        <v>164</v>
      </c>
      <c r="I9" s="82"/>
      <c r="J9" s="10" t="s">
        <v>53</v>
      </c>
      <c r="K9" s="51" t="s">
        <v>28</v>
      </c>
      <c r="L9" s="52"/>
    </row>
    <row r="10" spans="1:14" ht="20.100000000000001" customHeight="1" x14ac:dyDescent="0.25">
      <c r="A10" s="10" t="s">
        <v>49</v>
      </c>
      <c r="B10" s="51">
        <v>10</v>
      </c>
      <c r="C10" s="52"/>
      <c r="D10" s="35" t="s">
        <v>104</v>
      </c>
      <c r="E10" s="85">
        <f>E11*B10</f>
        <v>218.75</v>
      </c>
      <c r="F10" s="86"/>
      <c r="G10" s="10" t="s">
        <v>51</v>
      </c>
      <c r="H10" s="65">
        <f>H11*B10</f>
        <v>2700</v>
      </c>
      <c r="I10" s="66"/>
      <c r="J10" s="10" t="s">
        <v>39</v>
      </c>
      <c r="K10" s="51" t="s">
        <v>40</v>
      </c>
      <c r="L10" s="52"/>
    </row>
    <row r="11" spans="1:14" s="42" customFormat="1" ht="20.100000000000001" customHeight="1" x14ac:dyDescent="0.25">
      <c r="A11" s="41" t="str">
        <f>IF(B7="Cont Sheet Roll","Sheet Rolls",IF(B7="Cont Centrefold","CF Rolls",""))</f>
        <v>CF Rolls</v>
      </c>
      <c r="B11" s="83">
        <v>10</v>
      </c>
      <c r="C11" s="84"/>
      <c r="D11" s="41" t="s">
        <v>105</v>
      </c>
      <c r="E11" s="87">
        <f>IF(D9="RUN 2 UP",(B8*H8*H11/540000)*2,(B8*H8*H11/540000))</f>
        <v>21.875</v>
      </c>
      <c r="F11" s="88"/>
      <c r="G11" s="41" t="s">
        <v>13</v>
      </c>
      <c r="H11" s="89">
        <v>270</v>
      </c>
      <c r="I11" s="90"/>
      <c r="J11" s="41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0" t="s">
        <v>59</v>
      </c>
      <c r="B13" s="51" t="s">
        <v>42</v>
      </c>
      <c r="C13" s="51"/>
      <c r="D13" s="52"/>
      <c r="E13" s="13" t="s">
        <v>60</v>
      </c>
      <c r="F13" s="51" t="s">
        <v>42</v>
      </c>
      <c r="G13" s="51"/>
      <c r="H13" s="52"/>
      <c r="I13" s="10" t="s">
        <v>61</v>
      </c>
      <c r="J13" s="51" t="s">
        <v>42</v>
      </c>
      <c r="K13" s="51"/>
      <c r="L13" s="52"/>
    </row>
    <row r="14" spans="1:14" ht="20.100000000000001" customHeight="1" x14ac:dyDescent="0.3">
      <c r="A14" s="11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0" t="s">
        <v>71</v>
      </c>
      <c r="B16" s="51" t="s">
        <v>75</v>
      </c>
      <c r="C16" s="51"/>
      <c r="D16" s="52"/>
      <c r="E16" s="10" t="s">
        <v>72</v>
      </c>
      <c r="F16" s="61">
        <f>B10</f>
        <v>10</v>
      </c>
      <c r="G16" s="61"/>
      <c r="H16" s="62"/>
      <c r="I16" s="10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9" t="s">
        <v>76</v>
      </c>
      <c r="H19" s="30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9" t="s">
        <v>77</v>
      </c>
      <c r="H20" s="30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9" t="s">
        <v>78</v>
      </c>
      <c r="H21" s="30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9" t="s">
        <v>79</v>
      </c>
      <c r="H22" s="30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9" t="s">
        <v>80</v>
      </c>
      <c r="H23" s="30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4"/>
      <c r="E24" s="103"/>
      <c r="F24" s="104"/>
      <c r="G24" s="9" t="s">
        <v>81</v>
      </c>
      <c r="H24" s="30"/>
      <c r="I24" s="56"/>
      <c r="J24" s="57"/>
      <c r="K24" s="56"/>
      <c r="L24" s="57"/>
    </row>
    <row r="25" spans="1:12" ht="20.100000000000001" customHeight="1" x14ac:dyDescent="0.25">
      <c r="A25" s="49" t="s">
        <v>166</v>
      </c>
      <c r="B25" s="49"/>
      <c r="C25" s="63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>0</v>
      </c>
      <c r="D25" s="64"/>
      <c r="E25" s="103"/>
      <c r="F25" s="104"/>
      <c r="G25" s="9" t="s">
        <v>82</v>
      </c>
      <c r="H25" s="30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50" t="s">
        <v>103</v>
      </c>
      <c r="H27" s="50"/>
      <c r="I27" s="50" t="s">
        <v>102</v>
      </c>
      <c r="J27" s="50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167</v>
      </c>
      <c r="C28" s="6"/>
      <c r="D28" s="22">
        <v>100</v>
      </c>
      <c r="E28" s="44">
        <v>5.7</v>
      </c>
      <c r="F28" s="6"/>
      <c r="G28" s="45"/>
      <c r="H28" s="45"/>
      <c r="I28" s="45"/>
      <c r="J28" s="45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45"/>
      <c r="H29" s="45"/>
      <c r="I29" s="45"/>
      <c r="J29" s="45"/>
      <c r="K29" s="6"/>
      <c r="L29" s="22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46128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46118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136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137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138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139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140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141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142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145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143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143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0847C80-74D2-4D81-A264-C9783AC70E68}"/>
</file>

<file path=customXml/itemProps2.xml><?xml version="1.0" encoding="utf-8"?>
<ds:datastoreItem xmlns:ds="http://schemas.openxmlformats.org/officeDocument/2006/customXml" ds:itemID="{33E6A53C-0A42-4D68-9358-2F749AD13F00}"/>
</file>

<file path=customXml/itemProps3.xml><?xml version="1.0" encoding="utf-8"?>
<ds:datastoreItem xmlns:ds="http://schemas.openxmlformats.org/officeDocument/2006/customXml" ds:itemID="{0BCD05B9-B579-400F-AC40-581D1FA994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2026-03-16T04:20:06Z</cp:lastPrinted>
  <dcterms:created xsi:type="dcterms:W3CDTF">2019-11-27T23:28:06Z</dcterms:created>
  <dcterms:modified xsi:type="dcterms:W3CDTF">2026-03-16T04:20:22Z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