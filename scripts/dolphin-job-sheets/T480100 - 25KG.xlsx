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xl/externalLinks/externalLink1.xml" ContentType="application/vnd.openxmlformats-officedocument.spreadsheetml.externalLink+xml"/>
  <Override PartName="/docProps/app.xml" ContentType="application/vnd.openxmlformats-officedocument.extended-properties+xml"/>
  <Override PartName="/docProps/core.xml" ContentType="application/vnd.openxmlformats-package.core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53222"/>
  <mc:AlternateContent xmlns:mc="http://schemas.openxmlformats.org/markup-compatibility/2006">
    <mc:Choice Requires="x15">
      <x15ac:absPath xmlns:x15ac="http://schemas.microsoft.com/office/spreadsheetml/2010/11/ac" url="K:\EXCELL WORK SHEETS\NEW PRODUCTION SHEETS 2020\"/>
    </mc:Choice>
  </mc:AlternateContent>
  <bookViews>
    <workbookView xWindow="0" yWindow="0" windowWidth="24054" windowHeight="9942"/>
  </bookViews>
  <sheets>
    <sheet name="Sheet1" sheetId="1" r:id="rId1"/>
    <sheet name="Sheet2" sheetId="2" r:id="rId2"/>
  </sheets>
  <externalReferences>
    <externalReference r:id="rId3"/>
  </externalReferences>
  <definedNames>
    <definedName name="pallet_type">'[1]drop down list'!$U$2:$U$3</definedName>
    <definedName name="_xlnm.Print_Area" localSheetId="0">Sheet1!$A$1:$L$43,Sheet1!$A$45:$L$86</definedName>
    <definedName name="Print_Inline">'[1]drop down list'!$K$2:$K$4</definedName>
    <definedName name="Yes">'[1]drop down list'!$A$2:$A$4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8" i="1" l="1"/>
  <c r="D8" i="1" l="1"/>
  <c r="B2" i="1" l="1"/>
  <c r="E10" i="1" l="1"/>
  <c r="D9" i="1" l="1"/>
  <c r="B11" i="1" s="1"/>
  <c r="H11" i="1" l="1"/>
  <c r="A11" i="1" l="1"/>
  <c r="H10" i="1" l="1"/>
  <c r="K8" i="1" l="1"/>
  <c r="C25" i="1" l="1"/>
  <c r="A24" i="1" l="1"/>
  <c r="C24" i="1" s="1"/>
  <c r="B1" i="1" s="1"/>
  <c r="F16" i="1" l="1"/>
  <c r="J1" i="1" l="1"/>
  <c r="A4" i="2" l="1"/>
  <c r="A5" i="2"/>
</calcChain>
</file>

<file path=xl/sharedStrings.xml><?xml version="1.0" encoding="utf-8"?>
<sst xmlns="http://schemas.openxmlformats.org/spreadsheetml/2006/main" count="224" uniqueCount="166">
  <si>
    <t>EXTRUDER SETTINGS</t>
  </si>
  <si>
    <t>ITEM SPECIFICATIONS</t>
  </si>
  <si>
    <t>COMPONENTS</t>
  </si>
  <si>
    <t>MIX PERCENTAGE</t>
  </si>
  <si>
    <t>BATCHES MIXED</t>
  </si>
  <si>
    <t>LINEA</t>
  </si>
  <si>
    <t>LIGHT</t>
  </si>
  <si>
    <t>HEAVY</t>
  </si>
  <si>
    <t>MARTOGG</t>
  </si>
  <si>
    <t>TOTAL MATERIAL</t>
  </si>
  <si>
    <t>ADDITIONAL MATERIAL</t>
  </si>
  <si>
    <t>PRINTING</t>
  </si>
  <si>
    <t>Roll No.</t>
  </si>
  <si>
    <t>Mts/Roll</t>
  </si>
  <si>
    <t>Width</t>
  </si>
  <si>
    <t>QC Check</t>
  </si>
  <si>
    <t>Remark</t>
  </si>
  <si>
    <t>Time</t>
  </si>
  <si>
    <t>Adjustments</t>
  </si>
  <si>
    <t>Operator</t>
  </si>
  <si>
    <t>Checked</t>
  </si>
  <si>
    <t>No</t>
  </si>
  <si>
    <t>Labels</t>
  </si>
  <si>
    <t>Bag Type</t>
  </si>
  <si>
    <t>Pack Type</t>
  </si>
  <si>
    <t>Pallet Type</t>
  </si>
  <si>
    <t>Carton Size</t>
  </si>
  <si>
    <t>Date</t>
  </si>
  <si>
    <t>Standard</t>
  </si>
  <si>
    <t>Yes</t>
  </si>
  <si>
    <t>Lay Flat</t>
  </si>
  <si>
    <t>Chep</t>
  </si>
  <si>
    <t>Perforate Inline</t>
  </si>
  <si>
    <t>Pack</t>
  </si>
  <si>
    <t>Plain</t>
  </si>
  <si>
    <t>Loose</t>
  </si>
  <si>
    <t>BEST FIT</t>
  </si>
  <si>
    <t>PAGE 1</t>
  </si>
  <si>
    <t>PAGE 2</t>
  </si>
  <si>
    <t>Slit</t>
  </si>
  <si>
    <t>One Side</t>
  </si>
  <si>
    <t>Both Sides</t>
  </si>
  <si>
    <t>None</t>
  </si>
  <si>
    <t>Middle</t>
  </si>
  <si>
    <t xml:space="preserve">EXT Format </t>
  </si>
  <si>
    <t>EXT Slit</t>
  </si>
  <si>
    <t>Tolerance</t>
  </si>
  <si>
    <t>Colour</t>
  </si>
  <si>
    <t>Print</t>
  </si>
  <si>
    <t>Total Rolls</t>
  </si>
  <si>
    <t>Gauge</t>
  </si>
  <si>
    <t>Total Mts</t>
  </si>
  <si>
    <t>Type</t>
  </si>
  <si>
    <t>Format</t>
  </si>
  <si>
    <t>Item</t>
  </si>
  <si>
    <t>Customer</t>
  </si>
  <si>
    <t>Batch No</t>
  </si>
  <si>
    <t>Due Date</t>
  </si>
  <si>
    <t>Description</t>
  </si>
  <si>
    <t>Printing Type</t>
  </si>
  <si>
    <t>Treating</t>
  </si>
  <si>
    <t>Ink Colour</t>
  </si>
  <si>
    <t>EXT Print</t>
  </si>
  <si>
    <t>Out of Line</t>
  </si>
  <si>
    <t>Inline</t>
  </si>
  <si>
    <t>Inside / One Side</t>
  </si>
  <si>
    <t>Outside / Two Side</t>
  </si>
  <si>
    <t>Print Type</t>
  </si>
  <si>
    <t>Registered Print</t>
  </si>
  <si>
    <t>Random Print</t>
  </si>
  <si>
    <t>LABELS</t>
  </si>
  <si>
    <t>Label Type</t>
  </si>
  <si>
    <t>No. Labels</t>
  </si>
  <si>
    <t>Tag Packs</t>
  </si>
  <si>
    <t>Completed</t>
  </si>
  <si>
    <t>Dolphin</t>
  </si>
  <si>
    <t>Mix 1</t>
  </si>
  <si>
    <t>Mix 2</t>
  </si>
  <si>
    <t>Mix 3</t>
  </si>
  <si>
    <t>Mix 4</t>
  </si>
  <si>
    <t>Mix 5</t>
  </si>
  <si>
    <t>Mix 6</t>
  </si>
  <si>
    <t>Mix 7</t>
  </si>
  <si>
    <t>Purge Waste</t>
  </si>
  <si>
    <t>Screw Speed</t>
  </si>
  <si>
    <t>Nip Speed</t>
  </si>
  <si>
    <t>Start Time</t>
  </si>
  <si>
    <t>Blower %</t>
  </si>
  <si>
    <t>Inline Temp</t>
  </si>
  <si>
    <t>Seal Time</t>
  </si>
  <si>
    <t>Run 1</t>
  </si>
  <si>
    <t>Run 2</t>
  </si>
  <si>
    <t>Sign</t>
  </si>
  <si>
    <t>EXTRUSION DETAILS</t>
  </si>
  <si>
    <t>Item Code</t>
  </si>
  <si>
    <t>Lay Type</t>
  </si>
  <si>
    <t>Other Waste</t>
  </si>
  <si>
    <t>Finish Time</t>
  </si>
  <si>
    <t>Setup Waste</t>
  </si>
  <si>
    <t>Finish Date</t>
  </si>
  <si>
    <t>Start Date</t>
  </si>
  <si>
    <t>Notes</t>
  </si>
  <si>
    <t>Winder Tension/Speed</t>
  </si>
  <si>
    <t>Nip Roller Tension/Speed</t>
  </si>
  <si>
    <t>Total Kgs</t>
  </si>
  <si>
    <t>Kgs/Roll</t>
  </si>
  <si>
    <t>EXTRUSION COUNT</t>
  </si>
  <si>
    <t xml:space="preserve">Yes </t>
  </si>
  <si>
    <t>Qty to Stock</t>
  </si>
  <si>
    <t>Refer to Diagram</t>
  </si>
  <si>
    <t>Punch</t>
  </si>
  <si>
    <t>CODE</t>
  </si>
  <si>
    <t>RLLD00FB</t>
  </si>
  <si>
    <t xml:space="preserve"> LD2420D</t>
  </si>
  <si>
    <t>LD2426H</t>
  </si>
  <si>
    <t>LL7410D2</t>
  </si>
  <si>
    <t>YELLOW</t>
  </si>
  <si>
    <t>PURPLE</t>
  </si>
  <si>
    <t>BLUE</t>
  </si>
  <si>
    <t>RED</t>
  </si>
  <si>
    <t>GREEN</t>
  </si>
  <si>
    <t>ORANGE</t>
  </si>
  <si>
    <t>MAROON</t>
  </si>
  <si>
    <t>WHITE</t>
  </si>
  <si>
    <t>WHITE TINT</t>
  </si>
  <si>
    <t>YELLOW TINT</t>
  </si>
  <si>
    <t>PURPLE TINT</t>
  </si>
  <si>
    <t>BLUE TINT</t>
  </si>
  <si>
    <t>RED TINT</t>
  </si>
  <si>
    <t>GREEN TINT</t>
  </si>
  <si>
    <t>ORANGE TINT</t>
  </si>
  <si>
    <t>NATURAL</t>
  </si>
  <si>
    <t>Poly Bag</t>
  </si>
  <si>
    <t>Poly Bag Roll</t>
  </si>
  <si>
    <t>Sheet</t>
  </si>
  <si>
    <t>Sheet Roll</t>
  </si>
  <si>
    <t>Small</t>
  </si>
  <si>
    <t>180 Meat</t>
  </si>
  <si>
    <t>240 Meat</t>
  </si>
  <si>
    <t>Lined</t>
  </si>
  <si>
    <t>Fold</t>
  </si>
  <si>
    <t>Water, Seal, Size Test / Overs Accepted / Part Cartons</t>
  </si>
  <si>
    <t>LILAC</t>
  </si>
  <si>
    <t>LILAC TINT</t>
  </si>
  <si>
    <t>BLACK</t>
  </si>
  <si>
    <t>EXTRUSION SPECS</t>
  </si>
  <si>
    <t xml:space="preserve"> +/- 5mm</t>
  </si>
  <si>
    <t>Extruder</t>
  </si>
  <si>
    <t>Created</t>
  </si>
  <si>
    <t>RESIN MIX</t>
  </si>
  <si>
    <t>DOLPHIN</t>
  </si>
  <si>
    <t>BLACK REMILL</t>
  </si>
  <si>
    <t>MAROON TINT</t>
  </si>
  <si>
    <t>S Fold</t>
  </si>
  <si>
    <t>Bundle</t>
  </si>
  <si>
    <t>Standard 6 Hole</t>
  </si>
  <si>
    <t>Pinhole Vent</t>
  </si>
  <si>
    <t>See Notes</t>
  </si>
  <si>
    <t>Roll Type</t>
  </si>
  <si>
    <t>Tube</t>
  </si>
  <si>
    <t>Cont Sheet Roll</t>
  </si>
  <si>
    <t>Cont Centrefold</t>
  </si>
  <si>
    <t>ASAP</t>
  </si>
  <si>
    <t>Centrefold Roll</t>
  </si>
  <si>
    <t>SEDL</t>
  </si>
  <si>
    <t xml:space="preserve"> +/- 5um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</si>
</sst>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%"/>
  </numFmts>
  <fonts count="1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indexed="55"/>
      <name val="Calibri"/>
      <family val="2"/>
      <scheme val="minor"/>
    </font>
    <font>
      <u/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color theme="0" tint="-0.499984740745262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99CC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37">
    <xf numFmtId="0" fontId="0" fillId="0" borderId="0" xfId="0"/>
    <xf numFmtId="0" fontId="3" fillId="0" borderId="0" xfId="0" applyFont="1"/>
    <xf numFmtId="0" fontId="4" fillId="0" borderId="0" xfId="0" applyFont="1"/>
    <xf numFmtId="0" fontId="8" fillId="0" borderId="0" xfId="0" applyFont="1"/>
    <xf numFmtId="0" fontId="7" fillId="0" borderId="0" xfId="0" applyFont="1"/>
    <xf numFmtId="0" fontId="7" fillId="0" borderId="0" xfId="0" applyFont="1" applyAlignment="1">
      <alignment horizontal="left"/>
    </xf>
    <xf numFmtId="2" fontId="11" fillId="0" borderId="6" xfId="0" applyNumberFormat="1" applyFont="1" applyBorder="1" applyProtection="1">
      <protection locked="0"/>
    </xf>
    <xf numFmtId="164" fontId="11" fillId="0" borderId="6" xfId="1" applyNumberFormat="1" applyFont="1" applyBorder="1" applyProtection="1">
      <protection locked="0"/>
    </xf>
    <xf numFmtId="9" fontId="11" fillId="0" borderId="6" xfId="1" applyFont="1" applyBorder="1" applyProtection="1">
      <protection locked="0"/>
    </xf>
    <xf numFmtId="2" fontId="11" fillId="0" borderId="6" xfId="0" applyNumberFormat="1" applyFont="1" applyBorder="1" applyAlignment="1" applyProtection="1">
      <protection locked="0"/>
    </xf>
    <xf numFmtId="0" fontId="3" fillId="0" borderId="6" xfId="0" applyFont="1" applyBorder="1" applyProtection="1">
      <protection locked="0"/>
    </xf>
    <xf numFmtId="0" fontId="3" fillId="0" borderId="4" xfId="0" applyFont="1" applyBorder="1" applyAlignment="1" applyProtection="1">
      <alignment horizontal="left"/>
      <protection locked="0"/>
    </xf>
    <xf numFmtId="0" fontId="3" fillId="0" borderId="4" xfId="0" applyFont="1" applyBorder="1" applyProtection="1"/>
    <xf numFmtId="0" fontId="3" fillId="0" borderId="11" xfId="0" applyFont="1" applyBorder="1" applyProtection="1"/>
    <xf numFmtId="0" fontId="3" fillId="5" borderId="4" xfId="0" applyFont="1" applyFill="1" applyBorder="1" applyProtection="1"/>
    <xf numFmtId="0" fontId="3" fillId="0" borderId="0" xfId="0" applyFont="1" applyProtection="1"/>
    <xf numFmtId="0" fontId="3" fillId="0" borderId="2" xfId="0" applyFont="1" applyBorder="1" applyAlignment="1" applyProtection="1"/>
    <xf numFmtId="0" fontId="3" fillId="0" borderId="4" xfId="0" applyFont="1" applyBorder="1" applyAlignment="1" applyProtection="1"/>
    <xf numFmtId="0" fontId="5" fillId="0" borderId="6" xfId="0" applyFont="1" applyBorder="1" applyProtection="1"/>
    <xf numFmtId="0" fontId="3" fillId="0" borderId="6" xfId="0" applyFont="1" applyBorder="1" applyProtection="1"/>
    <xf numFmtId="0" fontId="3" fillId="0" borderId="6" xfId="0" applyFont="1" applyBorder="1" applyAlignment="1" applyProtection="1">
      <alignment horizontal="left"/>
    </xf>
    <xf numFmtId="0" fontId="3" fillId="0" borderId="6" xfId="0" applyFont="1" applyFill="1" applyBorder="1" applyAlignment="1" applyProtection="1">
      <alignment horizontal="left"/>
    </xf>
    <xf numFmtId="0" fontId="3" fillId="3" borderId="6" xfId="0" applyFont="1" applyFill="1" applyBorder="1" applyAlignment="1" applyProtection="1">
      <alignment horizontal="left"/>
    </xf>
    <xf numFmtId="0" fontId="3" fillId="0" borderId="4" xfId="0" applyFont="1" applyBorder="1" applyAlignment="1" applyProtection="1">
      <alignment horizontal="left"/>
    </xf>
    <xf numFmtId="0" fontId="3" fillId="0" borderId="7" xfId="0" applyFont="1" applyBorder="1" applyAlignment="1" applyProtection="1">
      <alignment horizontal="left"/>
    </xf>
    <xf numFmtId="0" fontId="3" fillId="0" borderId="3" xfId="0" applyFont="1" applyBorder="1" applyAlignment="1" applyProtection="1">
      <alignment horizontal="left"/>
    </xf>
    <xf numFmtId="0" fontId="3" fillId="0" borderId="5" xfId="0" applyFont="1" applyBorder="1" applyProtection="1">
      <protection locked="0"/>
    </xf>
    <xf numFmtId="0" fontId="11" fillId="0" borderId="6" xfId="0" applyFont="1" applyBorder="1" applyProtection="1">
      <protection locked="0"/>
    </xf>
    <xf numFmtId="0" fontId="3" fillId="0" borderId="2" xfId="0" applyFont="1" applyBorder="1" applyAlignment="1" applyProtection="1">
      <alignment horizontal="right"/>
      <protection locked="0"/>
    </xf>
    <xf numFmtId="0" fontId="3" fillId="0" borderId="2" xfId="0" applyFont="1" applyBorder="1" applyProtection="1">
      <protection locked="0"/>
    </xf>
    <xf numFmtId="0" fontId="3" fillId="0" borderId="3" xfId="0" applyFont="1" applyBorder="1" applyProtection="1">
      <protection locked="0"/>
    </xf>
    <xf numFmtId="0" fontId="6" fillId="0" borderId="3" xfId="0" applyFont="1" applyBorder="1" applyProtection="1">
      <protection locked="0"/>
    </xf>
    <xf numFmtId="0" fontId="3" fillId="0" borderId="8" xfId="0" applyFont="1" applyBorder="1" applyProtection="1">
      <protection locked="0"/>
    </xf>
    <xf numFmtId="0" fontId="3" fillId="0" borderId="5" xfId="0" applyFont="1" applyBorder="1" applyAlignment="1" applyProtection="1">
      <alignment horizontal="right"/>
      <protection locked="0"/>
    </xf>
    <xf numFmtId="0" fontId="3" fillId="0" borderId="3" xfId="0" applyFont="1" applyBorder="1" applyAlignment="1" applyProtection="1">
      <alignment horizontal="right"/>
      <protection locked="0"/>
    </xf>
    <xf numFmtId="0" fontId="3" fillId="0" borderId="5" xfId="0" applyFont="1" applyBorder="1" applyAlignment="1" applyProtection="1">
      <alignment horizontal="left"/>
      <protection locked="0"/>
    </xf>
    <xf numFmtId="0" fontId="3" fillId="6" borderId="6" xfId="0" applyFont="1" applyFill="1" applyBorder="1" applyProtection="1"/>
    <xf numFmtId="0" fontId="3" fillId="6" borderId="6" xfId="0" applyFont="1" applyFill="1" applyBorder="1" applyProtection="1">
      <protection locked="0"/>
    </xf>
    <xf numFmtId="0" fontId="3" fillId="0" borderId="6" xfId="0" applyFont="1" applyBorder="1"/>
    <xf numFmtId="0" fontId="0" fillId="0" borderId="6" xfId="0" applyBorder="1"/>
    <xf numFmtId="0" fontId="3" fillId="6" borderId="6" xfId="0" applyFont="1" applyFill="1" applyBorder="1"/>
    <xf numFmtId="0" fontId="0" fillId="6" borderId="6" xfId="0" applyFill="1" applyBorder="1"/>
    <xf numFmtId="0" fontId="3" fillId="7" borderId="4" xfId="0" applyFont="1" applyFill="1" applyBorder="1" applyProtection="1"/>
    <xf numFmtId="0" fontId="3" fillId="0" borderId="0" xfId="0" applyFont="1" applyAlignment="1">
      <alignment horizontal="left"/>
    </xf>
    <xf numFmtId="0" fontId="9" fillId="0" borderId="0" xfId="0" applyFont="1" applyAlignment="1">
      <alignment horizontal="left"/>
    </xf>
    <xf numFmtId="0" fontId="8" fillId="0" borderId="0" xfId="0" applyFont="1" applyAlignment="1">
      <alignment horizontal="left"/>
    </xf>
    <xf numFmtId="0" fontId="0" fillId="0" borderId="0" xfId="0" applyFont="1" applyAlignment="1">
      <alignment horizontal="left"/>
    </xf>
    <xf numFmtId="0" fontId="2" fillId="0" borderId="0" xfId="0" applyFont="1" applyFill="1" applyAlignment="1">
      <alignment horizontal="left"/>
    </xf>
    <xf numFmtId="0" fontId="0" fillId="0" borderId="0" xfId="0" applyAlignment="1">
      <alignment horizontal="left"/>
    </xf>
    <xf numFmtId="0" fontId="7" fillId="0" borderId="0" xfId="0" applyFont="1" applyFill="1" applyAlignment="1">
      <alignment horizontal="left"/>
    </xf>
    <xf numFmtId="0" fontId="8" fillId="0" borderId="0" xfId="0" applyFont="1" applyFill="1" applyAlignment="1">
      <alignment horizontal="left"/>
    </xf>
    <xf numFmtId="0" fontId="3" fillId="0" borderId="4" xfId="0" applyFont="1" applyBorder="1" applyProtection="1">
      <protection hidden="1"/>
    </xf>
    <xf numFmtId="0" fontId="0" fillId="0" borderId="0" xfId="0" applyProtection="1">
      <protection hidden="1"/>
    </xf>
    <xf numFmtId="14" fontId="7" fillId="0" borderId="0" xfId="0" applyNumberFormat="1" applyFont="1" applyAlignment="1">
      <alignment horizontal="left"/>
    </xf>
    <xf numFmtId="0" fontId="13" fillId="0" borderId="2" xfId="0" applyFont="1" applyBorder="1" applyAlignment="1" applyProtection="1">
      <alignment horizontal="center"/>
      <protection locked="0"/>
    </xf>
    <xf numFmtId="0" fontId="10" fillId="0" borderId="2" xfId="0" applyFont="1" applyBorder="1" applyAlignment="1" applyProtection="1">
      <alignment horizontal="center"/>
      <protection locked="0"/>
    </xf>
    <xf numFmtId="0" fontId="10" fillId="0" borderId="5" xfId="0" applyFont="1" applyBorder="1" applyAlignment="1" applyProtection="1">
      <alignment horizontal="center"/>
      <protection locked="0"/>
    </xf>
    <xf numFmtId="0" fontId="3" fillId="0" borderId="7" xfId="0" applyFont="1" applyBorder="1" applyAlignment="1" applyProtection="1">
      <alignment horizontal="left" vertical="top"/>
      <protection locked="0"/>
    </xf>
    <xf numFmtId="0" fontId="3" fillId="0" borderId="3" xfId="0" applyFont="1" applyBorder="1" applyAlignment="1" applyProtection="1">
      <alignment horizontal="left" vertical="top"/>
      <protection locked="0"/>
    </xf>
    <xf numFmtId="0" fontId="3" fillId="0" borderId="8" xfId="0" applyFont="1" applyBorder="1" applyAlignment="1" applyProtection="1">
      <alignment horizontal="left" vertical="top"/>
      <protection locked="0"/>
    </xf>
    <xf numFmtId="0" fontId="3" fillId="0" borderId="9" xfId="0" applyFont="1" applyBorder="1" applyAlignment="1" applyProtection="1">
      <alignment horizontal="left" vertical="top"/>
      <protection locked="0"/>
    </xf>
    <xf numFmtId="0" fontId="3" fillId="0" borderId="0" xfId="0" applyFont="1" applyBorder="1" applyAlignment="1" applyProtection="1">
      <alignment horizontal="left" vertical="top"/>
      <protection locked="0"/>
    </xf>
    <xf numFmtId="0" fontId="3" fillId="0" borderId="10" xfId="0" applyFont="1" applyBorder="1" applyAlignment="1" applyProtection="1">
      <alignment horizontal="left" vertical="top"/>
      <protection locked="0"/>
    </xf>
    <xf numFmtId="0" fontId="3" fillId="0" borderId="11" xfId="0" applyFont="1" applyBorder="1" applyAlignment="1" applyProtection="1">
      <alignment horizontal="left" vertical="top"/>
      <protection locked="0"/>
    </xf>
    <xf numFmtId="0" fontId="3" fillId="0" borderId="1" xfId="0" applyFont="1" applyBorder="1" applyAlignment="1" applyProtection="1">
      <alignment horizontal="left" vertical="top"/>
      <protection locked="0"/>
    </xf>
    <xf numFmtId="0" fontId="3" fillId="0" borderId="12" xfId="0" applyFont="1" applyBorder="1" applyAlignment="1" applyProtection="1">
      <alignment horizontal="left" vertical="top"/>
      <protection locked="0"/>
    </xf>
    <xf numFmtId="0" fontId="3" fillId="0" borderId="4" xfId="0" applyFont="1" applyBorder="1" applyAlignment="1" applyProtection="1">
      <alignment horizontal="center"/>
    </xf>
    <xf numFmtId="0" fontId="3" fillId="0" borderId="5" xfId="0" applyFont="1" applyBorder="1" applyAlignment="1" applyProtection="1">
      <alignment horizontal="center"/>
    </xf>
    <xf numFmtId="10" fontId="3" fillId="0" borderId="4" xfId="0" applyNumberFormat="1" applyFont="1" applyBorder="1" applyAlignment="1" applyProtection="1">
      <alignment horizontal="center"/>
      <protection locked="0"/>
    </xf>
    <xf numFmtId="10" fontId="3" fillId="0" borderId="5" xfId="0" applyNumberFormat="1" applyFont="1" applyBorder="1" applyAlignment="1" applyProtection="1">
      <alignment horizontal="center"/>
      <protection locked="0"/>
    </xf>
    <xf numFmtId="0" fontId="0" fillId="2" borderId="7" xfId="0" applyFont="1" applyFill="1" applyBorder="1" applyAlignment="1" applyProtection="1">
      <alignment horizontal="center"/>
    </xf>
    <xf numFmtId="0" fontId="0" fillId="2" borderId="3" xfId="0" applyFont="1" applyFill="1" applyBorder="1" applyAlignment="1" applyProtection="1">
      <alignment horizontal="center"/>
    </xf>
    <xf numFmtId="0" fontId="0" fillId="2" borderId="8" xfId="0" applyFont="1" applyFill="1" applyBorder="1" applyAlignment="1" applyProtection="1">
      <alignment horizontal="center"/>
    </xf>
    <xf numFmtId="0" fontId="0" fillId="0" borderId="4" xfId="0" applyBorder="1" applyAlignment="1" applyProtection="1">
      <alignment horizontal="center"/>
    </xf>
    <xf numFmtId="0" fontId="0" fillId="0" borderId="5" xfId="0" applyBorder="1" applyAlignment="1" applyProtection="1">
      <alignment horizontal="center"/>
    </xf>
    <xf numFmtId="0" fontId="3" fillId="0" borderId="4" xfId="0" applyFont="1" applyBorder="1" applyAlignment="1" applyProtection="1">
      <alignment horizontal="center"/>
      <protection locked="0"/>
    </xf>
    <xf numFmtId="0" fontId="3" fillId="0" borderId="5" xfId="0" applyFont="1" applyBorder="1" applyAlignment="1" applyProtection="1">
      <alignment horizontal="center"/>
      <protection locked="0"/>
    </xf>
    <xf numFmtId="0" fontId="10" fillId="0" borderId="1" xfId="0" applyFont="1" applyBorder="1" applyAlignment="1" applyProtection="1">
      <alignment horizontal="center"/>
      <protection locked="0"/>
    </xf>
    <xf numFmtId="0" fontId="10" fillId="0" borderId="12" xfId="0" applyFont="1" applyBorder="1" applyAlignment="1" applyProtection="1">
      <alignment horizontal="center"/>
      <protection locked="0"/>
    </xf>
    <xf numFmtId="0" fontId="0" fillId="2" borderId="7" xfId="0" applyFill="1" applyBorder="1" applyAlignment="1" applyProtection="1">
      <alignment horizontal="center"/>
    </xf>
    <xf numFmtId="0" fontId="0" fillId="2" borderId="3" xfId="0" applyFill="1" applyBorder="1" applyAlignment="1" applyProtection="1">
      <alignment horizontal="center"/>
    </xf>
    <xf numFmtId="0" fontId="0" fillId="2" borderId="2" xfId="0" applyFill="1" applyBorder="1" applyAlignment="1" applyProtection="1">
      <alignment horizontal="center"/>
    </xf>
    <xf numFmtId="0" fontId="0" fillId="2" borderId="5" xfId="0" applyFill="1" applyBorder="1" applyAlignment="1" applyProtection="1">
      <alignment horizontal="center"/>
    </xf>
    <xf numFmtId="0" fontId="13" fillId="0" borderId="5" xfId="0" applyFont="1" applyBorder="1" applyAlignment="1" applyProtection="1">
      <alignment horizontal="center"/>
      <protection locked="0"/>
    </xf>
    <xf numFmtId="0" fontId="0" fillId="2" borderId="11" xfId="0" applyFont="1" applyFill="1" applyBorder="1" applyAlignment="1" applyProtection="1">
      <alignment horizontal="center"/>
    </xf>
    <xf numFmtId="0" fontId="0" fillId="2" borderId="1" xfId="0" applyFont="1" applyFill="1" applyBorder="1" applyAlignment="1" applyProtection="1">
      <alignment horizontal="center"/>
    </xf>
    <xf numFmtId="0" fontId="0" fillId="2" borderId="12" xfId="0" applyFont="1" applyFill="1" applyBorder="1" applyAlignment="1" applyProtection="1">
      <alignment horizontal="center"/>
    </xf>
    <xf numFmtId="0" fontId="3" fillId="4" borderId="4" xfId="0" applyFont="1" applyFill="1" applyBorder="1" applyAlignment="1" applyProtection="1">
      <alignment horizontal="center"/>
    </xf>
    <xf numFmtId="0" fontId="3" fillId="4" borderId="5" xfId="0" applyFont="1" applyFill="1" applyBorder="1" applyAlignment="1" applyProtection="1">
      <alignment horizontal="center"/>
    </xf>
    <xf numFmtId="0" fontId="3" fillId="0" borderId="6" xfId="0" applyFont="1" applyBorder="1" applyAlignment="1" applyProtection="1">
      <alignment horizontal="left"/>
    </xf>
    <xf numFmtId="0" fontId="0" fillId="2" borderId="4" xfId="0" applyFill="1" applyBorder="1" applyAlignment="1" applyProtection="1">
      <alignment horizontal="center"/>
    </xf>
    <xf numFmtId="0" fontId="2" fillId="2" borderId="7" xfId="0" applyFont="1" applyFill="1" applyBorder="1" applyAlignment="1" applyProtection="1">
      <alignment horizontal="center"/>
    </xf>
    <xf numFmtId="0" fontId="2" fillId="2" borderId="3" xfId="0" applyFont="1" applyFill="1" applyBorder="1" applyAlignment="1" applyProtection="1">
      <alignment horizontal="center"/>
    </xf>
    <xf numFmtId="0" fontId="2" fillId="2" borderId="2" xfId="0" applyFont="1" applyFill="1" applyBorder="1" applyAlignment="1" applyProtection="1">
      <alignment horizontal="center"/>
    </xf>
    <xf numFmtId="0" fontId="2" fillId="2" borderId="5" xfId="0" applyFont="1" applyFill="1" applyBorder="1" applyAlignment="1" applyProtection="1">
      <alignment horizontal="center"/>
    </xf>
    <xf numFmtId="0" fontId="10" fillId="5" borderId="2" xfId="0" applyFont="1" applyFill="1" applyBorder="1" applyAlignment="1" applyProtection="1">
      <alignment horizontal="center"/>
      <protection locked="0"/>
    </xf>
    <xf numFmtId="0" fontId="10" fillId="5" borderId="5" xfId="0" applyFont="1" applyFill="1" applyBorder="1" applyAlignment="1" applyProtection="1">
      <alignment horizontal="center"/>
      <protection locked="0"/>
    </xf>
    <xf numFmtId="0" fontId="10" fillId="0" borderId="2" xfId="0" applyFont="1" applyBorder="1" applyAlignment="1" applyProtection="1">
      <alignment horizontal="center"/>
      <protection hidden="1"/>
    </xf>
    <xf numFmtId="0" fontId="10" fillId="0" borderId="5" xfId="0" applyFont="1" applyBorder="1" applyAlignment="1" applyProtection="1">
      <alignment horizontal="center"/>
      <protection hidden="1"/>
    </xf>
    <xf numFmtId="1" fontId="10" fillId="7" borderId="2" xfId="0" applyNumberFormat="1" applyFont="1" applyFill="1" applyBorder="1" applyAlignment="1" applyProtection="1">
      <alignment horizontal="center"/>
    </xf>
    <xf numFmtId="1" fontId="10" fillId="7" borderId="5" xfId="0" applyNumberFormat="1" applyFont="1" applyFill="1" applyBorder="1" applyAlignment="1" applyProtection="1">
      <alignment horizontal="center"/>
    </xf>
    <xf numFmtId="2" fontId="10" fillId="0" borderId="2" xfId="0" applyNumberFormat="1" applyFont="1" applyBorder="1" applyAlignment="1" applyProtection="1">
      <alignment horizontal="center"/>
      <protection locked="0" hidden="1"/>
    </xf>
    <xf numFmtId="2" fontId="10" fillId="0" borderId="5" xfId="0" applyNumberFormat="1" applyFont="1" applyBorder="1" applyAlignment="1" applyProtection="1">
      <alignment horizontal="center"/>
      <protection locked="0" hidden="1"/>
    </xf>
    <xf numFmtId="1" fontId="10" fillId="0" borderId="2" xfId="0" applyNumberFormat="1" applyFont="1" applyBorder="1" applyAlignment="1" applyProtection="1">
      <alignment horizontal="center"/>
    </xf>
    <xf numFmtId="1" fontId="10" fillId="0" borderId="5" xfId="0" applyNumberFormat="1" applyFont="1" applyBorder="1" applyAlignment="1" applyProtection="1">
      <alignment horizontal="center"/>
    </xf>
    <xf numFmtId="2" fontId="10" fillId="0" borderId="2" xfId="0" applyNumberFormat="1" applyFont="1" applyBorder="1" applyAlignment="1" applyProtection="1">
      <alignment horizontal="center"/>
      <protection hidden="1"/>
    </xf>
    <xf numFmtId="2" fontId="10" fillId="0" borderId="5" xfId="0" applyNumberFormat="1" applyFont="1" applyBorder="1" applyAlignment="1" applyProtection="1">
      <alignment horizontal="center"/>
      <protection hidden="1"/>
    </xf>
    <xf numFmtId="0" fontId="3" fillId="4" borderId="2" xfId="0" applyFont="1" applyFill="1" applyBorder="1" applyAlignment="1" applyProtection="1">
      <alignment horizontal="center"/>
    </xf>
    <xf numFmtId="0" fontId="15" fillId="0" borderId="2" xfId="0" applyNumberFormat="1" applyFont="1" applyBorder="1" applyAlignment="1">
      <alignment horizontal="center"/>
    </xf>
    <xf numFmtId="0" fontId="15" fillId="0" borderId="5" xfId="0" applyNumberFormat="1" applyFont="1" applyBorder="1" applyAlignment="1">
      <alignment horizontal="center"/>
    </xf>
    <xf numFmtId="0" fontId="10" fillId="0" borderId="2" xfId="0" applyFont="1" applyBorder="1" applyAlignment="1" applyProtection="1">
      <alignment horizontal="center"/>
      <protection locked="0" hidden="1"/>
    </xf>
    <xf numFmtId="0" fontId="10" fillId="0" borderId="5" xfId="0" applyFont="1" applyBorder="1" applyAlignment="1" applyProtection="1">
      <alignment horizontal="center"/>
      <protection locked="0" hidden="1"/>
    </xf>
    <xf numFmtId="0" fontId="10" fillId="0" borderId="2" xfId="0" applyFont="1" applyBorder="1" applyAlignment="1" applyProtection="1">
      <alignment horizontal="center"/>
    </xf>
    <xf numFmtId="0" fontId="10" fillId="0" borderId="5" xfId="0" applyFont="1" applyBorder="1" applyAlignment="1" applyProtection="1">
      <alignment horizontal="center"/>
    </xf>
    <xf numFmtId="0" fontId="14" fillId="0" borderId="7" xfId="0" applyFont="1" applyBorder="1" applyAlignment="1" applyProtection="1">
      <alignment horizontal="center" vertical="center"/>
      <protection locked="0"/>
    </xf>
    <xf numFmtId="0" fontId="14" fillId="0" borderId="3" xfId="0" applyFont="1" applyBorder="1" applyAlignment="1" applyProtection="1">
      <alignment horizontal="center" vertical="center"/>
      <protection locked="0"/>
    </xf>
    <xf numFmtId="0" fontId="14" fillId="0" borderId="8" xfId="0" applyFont="1" applyBorder="1" applyAlignment="1" applyProtection="1">
      <alignment horizontal="center" vertical="center"/>
      <protection locked="0"/>
    </xf>
    <xf numFmtId="0" fontId="14" fillId="0" borderId="9" xfId="0" applyFont="1" applyBorder="1" applyAlignment="1" applyProtection="1">
      <alignment horizontal="center" vertical="center"/>
      <protection locked="0"/>
    </xf>
    <xf numFmtId="0" fontId="14" fillId="0" borderId="0" xfId="0" applyFont="1" applyBorder="1" applyAlignment="1" applyProtection="1">
      <alignment horizontal="center" vertical="center"/>
      <protection locked="0"/>
    </xf>
    <xf numFmtId="0" fontId="14" fillId="0" borderId="10" xfId="0" applyFont="1" applyBorder="1" applyAlignment="1" applyProtection="1">
      <alignment horizontal="center" vertical="center"/>
      <protection locked="0"/>
    </xf>
    <xf numFmtId="0" fontId="14" fillId="0" borderId="11" xfId="0" applyFont="1" applyBorder="1" applyAlignment="1" applyProtection="1">
      <alignment horizontal="center" vertical="center"/>
      <protection locked="0"/>
    </xf>
    <xf numFmtId="0" fontId="14" fillId="0" borderId="1" xfId="0" applyFont="1" applyBorder="1" applyAlignment="1" applyProtection="1">
      <alignment horizontal="center" vertical="center"/>
      <protection locked="0"/>
    </xf>
    <xf numFmtId="0" fontId="14" fillId="0" borderId="12" xfId="0" applyFont="1" applyBorder="1" applyAlignment="1" applyProtection="1">
      <alignment horizontal="center" vertical="center"/>
      <protection locked="0"/>
    </xf>
    <xf numFmtId="0" fontId="10" fillId="0" borderId="2" xfId="0" applyNumberFormat="1" applyFont="1" applyBorder="1" applyAlignment="1" applyProtection="1">
      <alignment horizontal="center"/>
      <protection locked="0"/>
    </xf>
    <xf numFmtId="0" fontId="10" fillId="0" borderId="5" xfId="0" applyNumberFormat="1" applyFont="1" applyBorder="1" applyAlignment="1" applyProtection="1">
      <alignment horizontal="center"/>
      <protection locked="0"/>
    </xf>
    <xf numFmtId="14" fontId="12" fillId="0" borderId="2" xfId="0" applyNumberFormat="1" applyFont="1" applyBorder="1" applyAlignment="1" applyProtection="1">
      <alignment horizontal="center"/>
    </xf>
    <xf numFmtId="14" fontId="12" fillId="0" borderId="5" xfId="0" applyNumberFormat="1" applyFont="1" applyBorder="1" applyAlignment="1" applyProtection="1">
      <alignment horizontal="center"/>
    </xf>
    <xf numFmtId="14" fontId="10" fillId="0" borderId="2" xfId="0" applyNumberFormat="1" applyFont="1" applyBorder="1" applyAlignment="1" applyProtection="1">
      <alignment horizontal="center"/>
      <protection locked="0"/>
    </xf>
    <xf numFmtId="2" fontId="11" fillId="0" borderId="6" xfId="0" applyNumberFormat="1" applyFont="1" applyBorder="1" applyAlignment="1" applyProtection="1">
      <alignment horizontal="center"/>
      <protection locked="0"/>
    </xf>
    <xf numFmtId="0" fontId="13" fillId="0" borderId="4" xfId="0" applyFont="1" applyBorder="1" applyAlignment="1" applyProtection="1">
      <alignment horizontal="center"/>
    </xf>
    <xf numFmtId="0" fontId="13" fillId="0" borderId="2" xfId="0" applyFont="1" applyBorder="1" applyAlignment="1" applyProtection="1">
      <alignment horizontal="center"/>
    </xf>
    <xf numFmtId="0" fontId="13" fillId="0" borderId="5" xfId="0" applyFont="1" applyBorder="1" applyAlignment="1" applyProtection="1">
      <alignment horizontal="center"/>
    </xf>
    <xf numFmtId="0" fontId="3" fillId="0" borderId="6" xfId="0" applyFont="1" applyBorder="1" applyAlignment="1" applyProtection="1">
      <alignment horizontal="center"/>
    </xf>
    <xf numFmtId="0" fontId="0" fillId="2" borderId="11" xfId="0" applyFill="1" applyBorder="1" applyAlignment="1" applyProtection="1">
      <alignment horizontal="center"/>
    </xf>
    <xf numFmtId="0" fontId="0" fillId="2" borderId="1" xfId="0" applyFill="1" applyBorder="1" applyAlignment="1" applyProtection="1">
      <alignment horizontal="center"/>
    </xf>
    <xf numFmtId="0" fontId="0" fillId="2" borderId="12" xfId="0" applyFill="1" applyBorder="1" applyAlignment="1" applyProtection="1">
      <alignment horizontal="center"/>
    </xf>
    <xf numFmtId="0" fontId="2" fillId="2" borderId="8" xfId="0" applyFont="1" applyFill="1" applyBorder="1" applyAlignment="1" applyProtection="1">
      <alignment horizontal="center"/>
    </xf>
  </cellXfs>
  <cellStyles count="2">
    <cellStyle name="Normal" xfId="0" builtinId="0"/>
    <cellStyle name="Percent" xfId="1" builtinId="5"/>
  </cellStyles>
  <dxfs count="12">
    <dxf>
      <font>
        <b/>
        <i val="0"/>
        <color rgb="FFFF0000"/>
      </font>
      <fill>
        <patternFill>
          <bgColor rgb="FFFFFF00"/>
        </patternFill>
      </fill>
    </dxf>
    <dxf>
      <font>
        <color theme="0"/>
      </font>
      <fill>
        <patternFill>
          <bgColor theme="1"/>
        </patternFill>
      </fill>
    </dxf>
    <dxf>
      <font>
        <b/>
        <i val="0"/>
        <color theme="0"/>
      </font>
      <fill>
        <patternFill>
          <bgColor theme="1"/>
        </patternFill>
      </fill>
    </dxf>
    <dxf>
      <font>
        <b/>
        <i val="0"/>
      </font>
      <fill>
        <patternFill>
          <bgColor rgb="FFFFFF47"/>
        </patternFill>
      </fill>
    </dxf>
    <dxf>
      <font>
        <b/>
        <i val="0"/>
        <strike val="0"/>
      </font>
      <fill>
        <patternFill>
          <bgColor rgb="FF61BFFF"/>
        </patternFill>
      </fill>
    </dxf>
    <dxf>
      <font>
        <b/>
        <i val="0"/>
      </font>
      <fill>
        <patternFill>
          <bgColor rgb="FF9F5FCF"/>
        </patternFill>
      </fill>
    </dxf>
    <dxf>
      <font>
        <b/>
        <i val="0"/>
        <color theme="0"/>
      </font>
      <fill>
        <patternFill>
          <bgColor theme="0" tint="-0.34998626667073579"/>
        </patternFill>
      </fill>
    </dxf>
    <dxf>
      <font>
        <b/>
        <i val="0"/>
      </font>
      <fill>
        <patternFill>
          <bgColor rgb="FFFF1D1D"/>
        </patternFill>
      </fill>
    </dxf>
    <dxf>
      <font>
        <b/>
        <i val="0"/>
      </font>
      <fill>
        <patternFill>
          <bgColor rgb="FF00B853"/>
        </patternFill>
      </fill>
    </dxf>
    <dxf>
      <font>
        <b/>
        <i val="0"/>
      </font>
      <fill>
        <patternFill>
          <bgColor rgb="FFFD9803"/>
        </patternFill>
      </fill>
    </dxf>
    <dxf>
      <font>
        <b/>
        <i val="0"/>
      </font>
      <fill>
        <patternFill>
          <bgColor rgb="FFE8407C"/>
        </patternFill>
      </fill>
    </dxf>
    <dxf>
      <font>
        <b/>
        <i val="0"/>
      </font>
      <fill>
        <patternFill>
          <bgColor rgb="FFD7AFFF"/>
        </patternFill>
      </fill>
    </dxf>
  </dxfs>
  <tableStyles count="0" defaultTableStyle="TableStyleMedium2" defaultPivotStyle="PivotStyleLight16"/>
  <colors>
    <mruColors>
      <color rgb="FFFF99CC"/>
      <color rgb="FFE8407C"/>
      <color rgb="FFE04882"/>
      <color rgb="FFF14D9F"/>
      <color rgb="FFD7AFFF"/>
      <color rgb="FFFA2A5C"/>
      <color rgb="FFFD9803"/>
      <color rgb="FFFF9F11"/>
      <color rgb="FFEF9721"/>
      <color rgb="FFEF882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nicole\Desktop\PB35551035%20-%20K2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xtrude"/>
      <sheetName val="Convert"/>
      <sheetName val="extra extrusion sheets"/>
      <sheetName val="Machine Settings"/>
      <sheetName val="Extra Conversion sheets"/>
      <sheetName val="drop down lis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>
        <row r="2">
          <cell r="A2" t="str">
            <v>Yes</v>
          </cell>
          <cell r="K2" t="str">
            <v>Yes</v>
          </cell>
          <cell r="U2" t="str">
            <v>Chep</v>
          </cell>
        </row>
        <row r="3">
          <cell r="A3" t="str">
            <v>No</v>
          </cell>
          <cell r="K3" t="str">
            <v>No</v>
          </cell>
          <cell r="U3" t="str">
            <v>Plain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>
    <pageSetUpPr fitToPage="1"/>
  </sheetPr>
  <dimension ref="A1:N86"/>
  <sheetViews>
    <sheetView tabSelected="1" zoomScale="80" zoomScaleNormal="80" workbookViewId="0">
      <selection activeCell="E11" sqref="E11:F11"/>
    </sheetView>
  </sheetViews>
  <sheetFormatPr defaultRowHeight="15.05" x14ac:dyDescent="0.3"/>
  <sheetData>
    <row r="1" spans="1:14" ht="20.05" customHeight="1" x14ac:dyDescent="0.3">
      <c r="A1" s="12" t="s">
        <v>54</v>
      </c>
      <c r="B1" s="112" t="str">
        <f>IF(B7="Tube","T",IF(B7="Cont Sheet Roll","SR",IF(B7="Cont Centrefold","CFR")))&amp;B8&amp;IF(E8="","","("&amp;E8&amp;")")&amp;H8&amp;(IF(K11="INLINE","P",IF(K11="OUT OF LINE","P",IF(K11="NONE",""))))&amp;C24&amp;C25</f>
        <v>T480100</v>
      </c>
      <c r="C1" s="112"/>
      <c r="D1" s="113"/>
      <c r="E1" s="12" t="s">
        <v>55</v>
      </c>
      <c r="F1" s="123" t="s">
        <v>164</v>
      </c>
      <c r="G1" s="123"/>
      <c r="H1" s="124"/>
      <c r="I1" s="12" t="s">
        <v>148</v>
      </c>
      <c r="J1" s="125">
        <f ca="1">TODAY()</f>
        <v>43924</v>
      </c>
      <c r="K1" s="125"/>
      <c r="L1" s="126"/>
    </row>
    <row r="2" spans="1:14" ht="20.05" customHeight="1" x14ac:dyDescent="0.3">
      <c r="A2" s="12" t="s">
        <v>94</v>
      </c>
      <c r="B2" s="103" t="str">
        <f>IF(B7="Tube",(ROUNDUP(E11,0)&amp;"KG"),(ROUNDUP(H11,0)&amp;"M"))</f>
        <v>25KG</v>
      </c>
      <c r="C2" s="103"/>
      <c r="D2" s="104"/>
      <c r="E2" s="12" t="s">
        <v>56</v>
      </c>
      <c r="F2" s="55">
        <v>936944</v>
      </c>
      <c r="G2" s="55"/>
      <c r="H2" s="56"/>
      <c r="I2" s="12" t="s">
        <v>57</v>
      </c>
      <c r="J2" s="127">
        <v>43954</v>
      </c>
      <c r="K2" s="55"/>
      <c r="L2" s="56"/>
    </row>
    <row r="3" spans="1:14" ht="20.05" customHeight="1" x14ac:dyDescent="0.3">
      <c r="A3" s="114"/>
      <c r="B3" s="115"/>
      <c r="C3" s="115"/>
      <c r="D3" s="115"/>
      <c r="E3" s="115"/>
      <c r="F3" s="115"/>
      <c r="G3" s="115"/>
      <c r="H3" s="115"/>
      <c r="I3" s="115"/>
      <c r="J3" s="115"/>
      <c r="K3" s="115"/>
      <c r="L3" s="116"/>
    </row>
    <row r="4" spans="1:14" ht="20.05" customHeight="1" x14ac:dyDescent="0.3">
      <c r="A4" s="117"/>
      <c r="B4" s="118"/>
      <c r="C4" s="118"/>
      <c r="D4" s="118"/>
      <c r="E4" s="118"/>
      <c r="F4" s="118"/>
      <c r="G4" s="118"/>
      <c r="H4" s="118"/>
      <c r="I4" s="118"/>
      <c r="J4" s="118"/>
      <c r="K4" s="118"/>
      <c r="L4" s="119"/>
    </row>
    <row r="5" spans="1:14" ht="20.05" customHeight="1" x14ac:dyDescent="0.3">
      <c r="A5" s="120"/>
      <c r="B5" s="121"/>
      <c r="C5" s="121"/>
      <c r="D5" s="121"/>
      <c r="E5" s="121"/>
      <c r="F5" s="121"/>
      <c r="G5" s="121"/>
      <c r="H5" s="121"/>
      <c r="I5" s="121"/>
      <c r="J5" s="121"/>
      <c r="K5" s="121"/>
      <c r="L5" s="122"/>
    </row>
    <row r="6" spans="1:14" ht="20.05" customHeight="1" x14ac:dyDescent="0.3">
      <c r="A6" s="91" t="s">
        <v>1</v>
      </c>
      <c r="B6" s="92"/>
      <c r="C6" s="92"/>
      <c r="D6" s="92"/>
      <c r="E6" s="92"/>
      <c r="F6" s="92"/>
      <c r="G6" s="92"/>
      <c r="H6" s="92"/>
      <c r="I6" s="92"/>
      <c r="J6" s="93"/>
      <c r="K6" s="93"/>
      <c r="L6" s="94"/>
    </row>
    <row r="7" spans="1:14" ht="20.05" customHeight="1" x14ac:dyDescent="0.35">
      <c r="A7" s="12" t="s">
        <v>158</v>
      </c>
      <c r="B7" s="55" t="s">
        <v>159</v>
      </c>
      <c r="C7" s="56"/>
      <c r="D7" s="12" t="s">
        <v>47</v>
      </c>
      <c r="E7" s="54" t="s">
        <v>131</v>
      </c>
      <c r="F7" s="54"/>
      <c r="G7" s="54"/>
      <c r="H7" s="54"/>
      <c r="I7" s="54"/>
      <c r="J7" s="107" t="s">
        <v>145</v>
      </c>
      <c r="K7" s="107"/>
      <c r="L7" s="88"/>
    </row>
    <row r="8" spans="1:14" ht="20.05" customHeight="1" x14ac:dyDescent="0.3">
      <c r="A8" s="13" t="s">
        <v>14</v>
      </c>
      <c r="B8" s="77">
        <v>480</v>
      </c>
      <c r="C8" s="78"/>
      <c r="D8" s="13" t="str">
        <f>IF(B7="Tube","Gusset","Centrefold")</f>
        <v>Gusset</v>
      </c>
      <c r="E8" s="108" t="str">
        <f>IF(B7="Cont Centrefold",B8*2,"")</f>
        <v/>
      </c>
      <c r="F8" s="109"/>
      <c r="G8" s="13" t="s">
        <v>50</v>
      </c>
      <c r="H8" s="77">
        <v>100</v>
      </c>
      <c r="I8" s="78"/>
      <c r="J8" s="12" t="s">
        <v>52</v>
      </c>
      <c r="K8" s="112" t="str">
        <f>IF(ISNUMBER(SEARCH("+",E8,1)),"Gusset Tube","Layflat Tube")</f>
        <v>Layflat Tube</v>
      </c>
      <c r="L8" s="113"/>
    </row>
    <row r="9" spans="1:14" ht="20.05" customHeight="1" x14ac:dyDescent="0.35">
      <c r="A9" s="14" t="s">
        <v>46</v>
      </c>
      <c r="B9" s="95" t="s">
        <v>146</v>
      </c>
      <c r="C9" s="96"/>
      <c r="D9" s="129" t="str">
        <f>IF(K10="Middle","RUN 2 UP",IF(AND(B7="Cont Centrefold",B8=380),"RUN 2 UP",""))</f>
        <v/>
      </c>
      <c r="E9" s="130"/>
      <c r="F9" s="131"/>
      <c r="G9" s="14" t="s">
        <v>46</v>
      </c>
      <c r="H9" s="95" t="s">
        <v>165</v>
      </c>
      <c r="I9" s="96"/>
      <c r="J9" s="12" t="s">
        <v>53</v>
      </c>
      <c r="K9" s="55" t="s">
        <v>28</v>
      </c>
      <c r="L9" s="56"/>
    </row>
    <row r="10" spans="1:14" ht="20.05" customHeight="1" x14ac:dyDescent="0.3">
      <c r="A10" s="12" t="s">
        <v>49</v>
      </c>
      <c r="B10" s="55">
        <v>5</v>
      </c>
      <c r="C10" s="56"/>
      <c r="D10" s="42" t="s">
        <v>104</v>
      </c>
      <c r="E10" s="99">
        <f>E11*B10</f>
        <v>125</v>
      </c>
      <c r="F10" s="100"/>
      <c r="G10" s="12" t="s">
        <v>51</v>
      </c>
      <c r="H10" s="103">
        <f>H11*B10</f>
        <v>1406.25</v>
      </c>
      <c r="I10" s="104"/>
      <c r="J10" s="12" t="s">
        <v>39</v>
      </c>
      <c r="K10" s="55" t="s">
        <v>42</v>
      </c>
      <c r="L10" s="56"/>
    </row>
    <row r="11" spans="1:14" s="52" customFormat="1" ht="20.05" customHeight="1" x14ac:dyDescent="0.3">
      <c r="A11" s="51" t="str">
        <f>IF(B7="Cont Sheet Roll","Sheet Rolls",IF(B7="Cont Centrefold","CF Rolls",""))</f>
        <v/>
      </c>
      <c r="B11" s="97" t="str">
        <f>IF(AND(B7="Cont Centrefold",D9="RUN 2 UP"),B10*2,IF(B7="Cont Centrefold",B10,IF(B7="Cont Sheet Roll",B10*2,"")))</f>
        <v/>
      </c>
      <c r="C11" s="98"/>
      <c r="D11" s="51" t="s">
        <v>105</v>
      </c>
      <c r="E11" s="101">
        <v>25</v>
      </c>
      <c r="F11" s="102"/>
      <c r="G11" s="51" t="s">
        <v>13</v>
      </c>
      <c r="H11" s="105">
        <f>E11*540000/B8/H8</f>
        <v>281.25</v>
      </c>
      <c r="I11" s="106"/>
      <c r="J11" s="51" t="s">
        <v>48</v>
      </c>
      <c r="K11" s="110" t="s">
        <v>42</v>
      </c>
      <c r="L11" s="111"/>
      <c r="N11"/>
    </row>
    <row r="12" spans="1:14" ht="20.05" customHeight="1" x14ac:dyDescent="0.3">
      <c r="A12" s="79" t="s">
        <v>11</v>
      </c>
      <c r="B12" s="80"/>
      <c r="C12" s="80"/>
      <c r="D12" s="80"/>
      <c r="E12" s="81"/>
      <c r="F12" s="81"/>
      <c r="G12" s="81"/>
      <c r="H12" s="81"/>
      <c r="I12" s="81"/>
      <c r="J12" s="81"/>
      <c r="K12" s="81"/>
      <c r="L12" s="82"/>
    </row>
    <row r="13" spans="1:14" ht="20.05" customHeight="1" x14ac:dyDescent="0.3">
      <c r="A13" s="12" t="s">
        <v>59</v>
      </c>
      <c r="B13" s="55" t="s">
        <v>42</v>
      </c>
      <c r="C13" s="55"/>
      <c r="D13" s="56"/>
      <c r="E13" s="16" t="s">
        <v>60</v>
      </c>
      <c r="F13" s="55" t="s">
        <v>42</v>
      </c>
      <c r="G13" s="55"/>
      <c r="H13" s="56"/>
      <c r="I13" s="17" t="s">
        <v>61</v>
      </c>
      <c r="J13" s="55" t="s">
        <v>42</v>
      </c>
      <c r="K13" s="55"/>
      <c r="L13" s="56"/>
    </row>
    <row r="14" spans="1:14" ht="20.05" customHeight="1" x14ac:dyDescent="0.35">
      <c r="A14" s="13" t="s">
        <v>58</v>
      </c>
      <c r="B14" s="54"/>
      <c r="C14" s="54"/>
      <c r="D14" s="54"/>
      <c r="E14" s="54"/>
      <c r="F14" s="54"/>
      <c r="G14" s="54"/>
      <c r="H14" s="54"/>
      <c r="I14" s="54"/>
      <c r="J14" s="54"/>
      <c r="K14" s="54"/>
      <c r="L14" s="83"/>
    </row>
    <row r="15" spans="1:14" ht="20.05" customHeight="1" x14ac:dyDescent="0.3">
      <c r="A15" s="91" t="s">
        <v>70</v>
      </c>
      <c r="B15" s="92"/>
      <c r="C15" s="92"/>
      <c r="D15" s="92"/>
      <c r="E15" s="92"/>
      <c r="F15" s="92"/>
      <c r="G15" s="92"/>
      <c r="H15" s="92"/>
      <c r="I15" s="92"/>
      <c r="J15" s="92"/>
      <c r="K15" s="92"/>
      <c r="L15" s="136"/>
    </row>
    <row r="16" spans="1:14" ht="20.05" customHeight="1" x14ac:dyDescent="0.3">
      <c r="A16" s="12" t="s">
        <v>71</v>
      </c>
      <c r="B16" s="55" t="s">
        <v>75</v>
      </c>
      <c r="C16" s="55"/>
      <c r="D16" s="56"/>
      <c r="E16" s="12" t="s">
        <v>72</v>
      </c>
      <c r="F16" s="112">
        <f>B10</f>
        <v>5</v>
      </c>
      <c r="G16" s="112"/>
      <c r="H16" s="113"/>
      <c r="I16" s="12" t="s">
        <v>74</v>
      </c>
      <c r="J16" s="55"/>
      <c r="K16" s="55"/>
      <c r="L16" s="56"/>
    </row>
    <row r="17" spans="1:12" ht="20.05" customHeight="1" x14ac:dyDescent="0.3">
      <c r="A17" s="133" t="s">
        <v>149</v>
      </c>
      <c r="B17" s="134"/>
      <c r="C17" s="134"/>
      <c r="D17" s="134"/>
      <c r="E17" s="134"/>
      <c r="F17" s="134"/>
      <c r="G17" s="134"/>
      <c r="H17" s="134"/>
      <c r="I17" s="134"/>
      <c r="J17" s="134"/>
      <c r="K17" s="134"/>
      <c r="L17" s="135"/>
    </row>
    <row r="18" spans="1:12" ht="20.05" customHeight="1" x14ac:dyDescent="0.3">
      <c r="A18" s="87" t="s">
        <v>2</v>
      </c>
      <c r="B18" s="88"/>
      <c r="C18" s="87" t="s">
        <v>111</v>
      </c>
      <c r="D18" s="88"/>
      <c r="E18" s="87" t="s">
        <v>3</v>
      </c>
      <c r="F18" s="88"/>
      <c r="G18" s="87" t="s">
        <v>4</v>
      </c>
      <c r="H18" s="88"/>
      <c r="I18" s="87" t="s">
        <v>9</v>
      </c>
      <c r="J18" s="88"/>
      <c r="K18" s="87" t="s">
        <v>10</v>
      </c>
      <c r="L18" s="88"/>
    </row>
    <row r="19" spans="1:12" ht="20.05" customHeight="1" x14ac:dyDescent="0.3">
      <c r="A19" s="89" t="s">
        <v>5</v>
      </c>
      <c r="B19" s="89"/>
      <c r="C19" s="66" t="s">
        <v>115</v>
      </c>
      <c r="D19" s="67"/>
      <c r="E19" s="68"/>
      <c r="F19" s="69"/>
      <c r="G19" s="11" t="s">
        <v>76</v>
      </c>
      <c r="H19" s="35"/>
      <c r="I19" s="75"/>
      <c r="J19" s="76"/>
      <c r="K19" s="75"/>
      <c r="L19" s="76"/>
    </row>
    <row r="20" spans="1:12" ht="20.05" customHeight="1" x14ac:dyDescent="0.3">
      <c r="A20" s="89" t="s">
        <v>6</v>
      </c>
      <c r="B20" s="89"/>
      <c r="C20" s="66" t="s">
        <v>114</v>
      </c>
      <c r="D20" s="67"/>
      <c r="E20" s="68"/>
      <c r="F20" s="69"/>
      <c r="G20" s="11" t="s">
        <v>77</v>
      </c>
      <c r="H20" s="35"/>
      <c r="I20" s="75"/>
      <c r="J20" s="76"/>
      <c r="K20" s="75"/>
      <c r="L20" s="76"/>
    </row>
    <row r="21" spans="1:12" ht="20.05" customHeight="1" x14ac:dyDescent="0.3">
      <c r="A21" s="89" t="s">
        <v>7</v>
      </c>
      <c r="B21" s="89"/>
      <c r="C21" s="66" t="s">
        <v>113</v>
      </c>
      <c r="D21" s="67"/>
      <c r="E21" s="68"/>
      <c r="F21" s="69"/>
      <c r="G21" s="11" t="s">
        <v>78</v>
      </c>
      <c r="H21" s="35"/>
      <c r="I21" s="75"/>
      <c r="J21" s="76"/>
      <c r="K21" s="75"/>
      <c r="L21" s="76"/>
    </row>
    <row r="22" spans="1:12" ht="20.05" customHeight="1" x14ac:dyDescent="0.3">
      <c r="A22" s="89" t="s">
        <v>8</v>
      </c>
      <c r="B22" s="89"/>
      <c r="C22" s="66" t="s">
        <v>112</v>
      </c>
      <c r="D22" s="67"/>
      <c r="E22" s="68"/>
      <c r="F22" s="69"/>
      <c r="G22" s="11" t="s">
        <v>79</v>
      </c>
      <c r="H22" s="35"/>
      <c r="I22" s="75"/>
      <c r="J22" s="76"/>
      <c r="K22" s="75"/>
      <c r="L22" s="76"/>
    </row>
    <row r="23" spans="1:12" ht="20.05" customHeight="1" x14ac:dyDescent="0.3">
      <c r="A23" s="89" t="s">
        <v>150</v>
      </c>
      <c r="B23" s="89"/>
      <c r="C23" s="66" t="s">
        <v>151</v>
      </c>
      <c r="D23" s="67"/>
      <c r="E23" s="68"/>
      <c r="F23" s="69"/>
      <c r="G23" s="11" t="s">
        <v>80</v>
      </c>
      <c r="H23" s="35"/>
      <c r="I23" s="75"/>
      <c r="J23" s="76"/>
      <c r="K23" s="75"/>
      <c r="L23" s="76"/>
    </row>
    <row r="24" spans="1:12" ht="20.05" customHeight="1" x14ac:dyDescent="0.3">
      <c r="A24" s="89" t="str">
        <f>(IF(E7="NATURAL","",E7))</f>
        <v/>
      </c>
      <c r="B24" s="89"/>
      <c r="C24" s="73" t="str">
        <f>IF(A24="","",IF(A24="NATURAL","",IF(A24="BLACK","BK",IF(A24="WHITE","WH",IF(A24="YELLOW","Y",IF(A24="PURPLE","PU",IF(A24="BLUE","BL",IF(A24="RED","R",IF(A24="GREEN","GR",IF(A24="ORANGE","OR",IF(A24="LILAC","LI",IF(A24="MAROON","MA",IF(A24="WHITE TINT","WT",IF(A24="YELLOW TINT","YT",IF(A24="PURPLE TINT","PT",IF(A24="BLUE TINT","BT",IF(A24="RED TINT","RT",IF(A24="GREEN TINT","GT",IF(A24="ORANGE TINT","OT",IF(A24="LILAC TINT","LT",IF(A24="ANTISTATIC","AS",IF(A24="UV","UV",IF(A24="FLAME RETARDANT","FL")))))))))))))))))))))))</f>
        <v/>
      </c>
      <c r="D24" s="74"/>
      <c r="E24" s="68"/>
      <c r="F24" s="69"/>
      <c r="G24" s="11" t="s">
        <v>81</v>
      </c>
      <c r="H24" s="35"/>
      <c r="I24" s="75"/>
      <c r="J24" s="76"/>
      <c r="K24" s="75"/>
      <c r="L24" s="76"/>
    </row>
    <row r="25" spans="1:12" ht="20.05" customHeight="1" x14ac:dyDescent="0.3">
      <c r="A25" s="89"/>
      <c r="B25" s="89"/>
      <c r="C25" s="66" t="str">
        <f>IF(A25="","",IF(A25="NATURAL","",IF(A25="BLACK","BK",IF(A25="WHITE","WH",IF(A25="YELLOW","Y",IF(A25="PURPLE","PU",IF(A25="BLUE","BL",IF(A25="RED","R",IF(A25="GREEN","GR",IF(A25="ORANGE","OR",IF(A25="LILAC","LI",IF(A25="MAROON","MA",IF(A25="WHITE TINT","WT",IF(A25="YELLOW TINT","YT",IF(A25="PURPLE TINT","PT",IF(A25="BLUE TINT","BT",IF(A25="RED TINT","RT",IF(A25="GREEN TINT","GT",IF(A25="ORANGE TINT","OT",IF(A25="LILAC TINT","LT",IF(A25="ANTISTATIC","AS",IF(A25="UV","UV",IF(A25="FLAME RETARDANT","FL")))))))))))))))))))))))</f>
        <v/>
      </c>
      <c r="D25" s="67"/>
      <c r="E25" s="68"/>
      <c r="F25" s="69"/>
      <c r="G25" s="11" t="s">
        <v>82</v>
      </c>
      <c r="H25" s="35"/>
      <c r="I25" s="75"/>
      <c r="J25" s="76"/>
      <c r="K25" s="75"/>
      <c r="L25" s="76"/>
    </row>
    <row r="26" spans="1:12" ht="20.05" customHeight="1" x14ac:dyDescent="0.3">
      <c r="A26" s="90" t="s">
        <v>0</v>
      </c>
      <c r="B26" s="81"/>
      <c r="C26" s="81"/>
      <c r="D26" s="81"/>
      <c r="E26" s="81"/>
      <c r="F26" s="81"/>
      <c r="G26" s="81"/>
      <c r="H26" s="81"/>
      <c r="I26" s="81"/>
      <c r="J26" s="81"/>
      <c r="K26" s="81"/>
      <c r="L26" s="82"/>
    </row>
    <row r="27" spans="1:12" ht="20.05" customHeight="1" x14ac:dyDescent="0.3">
      <c r="A27" s="18"/>
      <c r="B27" s="19" t="s">
        <v>147</v>
      </c>
      <c r="C27" s="19" t="s">
        <v>86</v>
      </c>
      <c r="D27" s="20" t="s">
        <v>84</v>
      </c>
      <c r="E27" s="20" t="s">
        <v>85</v>
      </c>
      <c r="F27" s="20" t="s">
        <v>87</v>
      </c>
      <c r="G27" s="132" t="s">
        <v>103</v>
      </c>
      <c r="H27" s="132"/>
      <c r="I27" s="132" t="s">
        <v>102</v>
      </c>
      <c r="J27" s="132"/>
      <c r="K27" s="20" t="s">
        <v>88</v>
      </c>
      <c r="L27" s="20" t="s">
        <v>89</v>
      </c>
    </row>
    <row r="28" spans="1:12" ht="20.05" customHeight="1" x14ac:dyDescent="0.3">
      <c r="A28" s="19" t="s">
        <v>90</v>
      </c>
      <c r="B28" s="6"/>
      <c r="C28" s="6"/>
      <c r="D28" s="6"/>
      <c r="E28" s="7"/>
      <c r="F28" s="9"/>
      <c r="G28" s="128"/>
      <c r="H28" s="128"/>
      <c r="I28" s="128"/>
      <c r="J28" s="128"/>
      <c r="K28" s="6"/>
      <c r="L28" s="27"/>
    </row>
    <row r="29" spans="1:12" ht="20.05" customHeight="1" x14ac:dyDescent="0.3">
      <c r="A29" s="19" t="s">
        <v>91</v>
      </c>
      <c r="B29" s="6"/>
      <c r="C29" s="6"/>
      <c r="D29" s="6"/>
      <c r="E29" s="8"/>
      <c r="F29" s="9"/>
      <c r="G29" s="128"/>
      <c r="H29" s="128"/>
      <c r="I29" s="128"/>
      <c r="J29" s="128"/>
      <c r="K29" s="6"/>
      <c r="L29" s="27"/>
    </row>
    <row r="30" spans="1:12" ht="20.05" customHeight="1" x14ac:dyDescent="0.3">
      <c r="A30" s="70" t="s">
        <v>93</v>
      </c>
      <c r="B30" s="71"/>
      <c r="C30" s="71"/>
      <c r="D30" s="71"/>
      <c r="E30" s="71"/>
      <c r="F30" s="71"/>
      <c r="G30" s="71"/>
      <c r="H30" s="71"/>
      <c r="I30" s="71"/>
      <c r="J30" s="71"/>
      <c r="K30" s="71"/>
      <c r="L30" s="72"/>
    </row>
    <row r="31" spans="1:12" ht="20.05" customHeight="1" x14ac:dyDescent="0.3">
      <c r="A31" s="23" t="s">
        <v>100</v>
      </c>
      <c r="B31" s="28"/>
      <c r="C31" s="26"/>
      <c r="D31" s="23" t="s">
        <v>86</v>
      </c>
      <c r="E31" s="29"/>
      <c r="F31" s="26"/>
      <c r="G31" s="25" t="s">
        <v>92</v>
      </c>
      <c r="H31" s="30"/>
      <c r="I31" s="30"/>
      <c r="J31" s="31"/>
      <c r="K31" s="30"/>
      <c r="L31" s="32"/>
    </row>
    <row r="32" spans="1:12" ht="20.05" customHeight="1" x14ac:dyDescent="0.3">
      <c r="A32" s="23" t="s">
        <v>99</v>
      </c>
      <c r="B32" s="28"/>
      <c r="C32" s="26"/>
      <c r="D32" s="23" t="s">
        <v>97</v>
      </c>
      <c r="E32" s="29"/>
      <c r="F32" s="33"/>
      <c r="G32" s="23" t="s">
        <v>92</v>
      </c>
      <c r="H32" s="29"/>
      <c r="I32" s="29"/>
      <c r="J32" s="29"/>
      <c r="K32" s="29"/>
      <c r="L32" s="26"/>
    </row>
    <row r="33" spans="1:12" ht="20.05" customHeight="1" x14ac:dyDescent="0.3">
      <c r="A33" s="24" t="s">
        <v>98</v>
      </c>
      <c r="B33" s="34"/>
      <c r="C33" s="32"/>
      <c r="D33" s="24" t="s">
        <v>83</v>
      </c>
      <c r="E33" s="30"/>
      <c r="F33" s="32"/>
      <c r="G33" s="24" t="s">
        <v>96</v>
      </c>
      <c r="H33" s="30"/>
      <c r="I33" s="30"/>
      <c r="J33" s="30"/>
      <c r="K33" s="30"/>
      <c r="L33" s="32"/>
    </row>
    <row r="34" spans="1:12" ht="20.05" customHeight="1" x14ac:dyDescent="0.3">
      <c r="A34" s="57" t="s">
        <v>101</v>
      </c>
      <c r="B34" s="58"/>
      <c r="C34" s="58"/>
      <c r="D34" s="58"/>
      <c r="E34" s="58"/>
      <c r="F34" s="58"/>
      <c r="G34" s="58"/>
      <c r="H34" s="58"/>
      <c r="I34" s="58"/>
      <c r="J34" s="58"/>
      <c r="K34" s="58"/>
      <c r="L34" s="59"/>
    </row>
    <row r="35" spans="1:12" ht="20.05" customHeight="1" x14ac:dyDescent="0.3">
      <c r="A35" s="60"/>
      <c r="B35" s="61"/>
      <c r="C35" s="61"/>
      <c r="D35" s="61"/>
      <c r="E35" s="61"/>
      <c r="F35" s="61"/>
      <c r="G35" s="61"/>
      <c r="H35" s="61"/>
      <c r="I35" s="61"/>
      <c r="J35" s="61"/>
      <c r="K35" s="61"/>
      <c r="L35" s="62"/>
    </row>
    <row r="36" spans="1:12" ht="20.05" customHeight="1" x14ac:dyDescent="0.3">
      <c r="A36" s="63"/>
      <c r="B36" s="64"/>
      <c r="C36" s="64"/>
      <c r="D36" s="64"/>
      <c r="E36" s="64"/>
      <c r="F36" s="64"/>
      <c r="G36" s="64"/>
      <c r="H36" s="64"/>
      <c r="I36" s="64"/>
      <c r="J36" s="64"/>
      <c r="K36" s="64"/>
      <c r="L36" s="65"/>
    </row>
    <row r="37" spans="1:12" ht="20.05" customHeight="1" x14ac:dyDescent="0.3">
      <c r="A37" s="84" t="s">
        <v>106</v>
      </c>
      <c r="B37" s="85"/>
      <c r="C37" s="85"/>
      <c r="D37" s="85"/>
      <c r="E37" s="85"/>
      <c r="F37" s="85"/>
      <c r="G37" s="85"/>
      <c r="H37" s="85"/>
      <c r="I37" s="85"/>
      <c r="J37" s="85"/>
      <c r="K37" s="85"/>
      <c r="L37" s="86"/>
    </row>
    <row r="38" spans="1:12" ht="20.05" customHeight="1" x14ac:dyDescent="0.3">
      <c r="A38" s="21" t="s">
        <v>12</v>
      </c>
      <c r="B38" s="15" t="s">
        <v>19</v>
      </c>
      <c r="C38" s="19" t="s">
        <v>27</v>
      </c>
      <c r="D38" s="21" t="s">
        <v>105</v>
      </c>
      <c r="E38" s="21" t="s">
        <v>13</v>
      </c>
      <c r="F38" s="21" t="s">
        <v>14</v>
      </c>
      <c r="G38" s="21" t="s">
        <v>50</v>
      </c>
      <c r="H38" s="22" t="s">
        <v>15</v>
      </c>
      <c r="I38" s="22" t="s">
        <v>16</v>
      </c>
      <c r="J38" s="21" t="s">
        <v>17</v>
      </c>
      <c r="K38" s="21" t="s">
        <v>18</v>
      </c>
      <c r="L38" s="21" t="s">
        <v>20</v>
      </c>
    </row>
    <row r="39" spans="1:12" ht="20.05" customHeight="1" x14ac:dyDescent="0.3">
      <c r="A39" s="19">
        <v>1</v>
      </c>
      <c r="B39" s="10"/>
      <c r="C39" s="10"/>
      <c r="D39" s="10"/>
      <c r="E39" s="10"/>
      <c r="F39" s="10"/>
      <c r="G39" s="10"/>
      <c r="H39" s="10"/>
      <c r="I39" s="10"/>
      <c r="J39" s="10"/>
      <c r="K39" s="10"/>
      <c r="L39" s="10"/>
    </row>
    <row r="40" spans="1:12" ht="20.05" customHeight="1" x14ac:dyDescent="0.3">
      <c r="A40" s="19">
        <v>2</v>
      </c>
      <c r="B40" s="10"/>
      <c r="C40" s="10"/>
      <c r="D40" s="10"/>
      <c r="E40" s="10"/>
      <c r="F40" s="10"/>
      <c r="G40" s="10"/>
      <c r="H40" s="10"/>
      <c r="I40" s="10"/>
      <c r="J40" s="10"/>
      <c r="K40" s="10"/>
      <c r="L40" s="10"/>
    </row>
    <row r="41" spans="1:12" ht="20.05" customHeight="1" x14ac:dyDescent="0.3">
      <c r="A41" s="19">
        <v>3</v>
      </c>
      <c r="B41" s="10"/>
      <c r="C41" s="10"/>
      <c r="D41" s="10"/>
      <c r="E41" s="10"/>
      <c r="F41" s="10"/>
      <c r="G41" s="10"/>
      <c r="H41" s="10"/>
      <c r="I41" s="10"/>
      <c r="J41" s="10"/>
      <c r="K41" s="10"/>
      <c r="L41" s="10"/>
    </row>
    <row r="42" spans="1:12" ht="20.05" customHeight="1" x14ac:dyDescent="0.3">
      <c r="A42" s="19">
        <v>4</v>
      </c>
      <c r="B42" s="10"/>
      <c r="C42" s="10"/>
      <c r="D42" s="10"/>
      <c r="E42" s="10"/>
      <c r="F42" s="10"/>
      <c r="G42" s="10"/>
      <c r="H42" s="10"/>
      <c r="I42" s="10"/>
      <c r="J42" s="10"/>
      <c r="K42" s="10"/>
      <c r="L42" s="10"/>
    </row>
    <row r="43" spans="1:12" ht="20.05" customHeight="1" x14ac:dyDescent="0.3">
      <c r="A43" s="36">
        <v>5</v>
      </c>
      <c r="B43" s="37"/>
      <c r="C43" s="37"/>
      <c r="D43" s="37"/>
      <c r="E43" s="37"/>
      <c r="F43" s="37"/>
      <c r="G43" s="37"/>
      <c r="H43" s="37"/>
      <c r="I43" s="37"/>
      <c r="J43" s="37"/>
      <c r="K43" s="37"/>
      <c r="L43" s="37"/>
    </row>
    <row r="44" spans="1:12" ht="20.05" customHeight="1" x14ac:dyDescent="0.3"/>
    <row r="45" spans="1:12" ht="20.05" customHeight="1" x14ac:dyDescent="0.3">
      <c r="A45" s="21" t="s">
        <v>12</v>
      </c>
      <c r="B45" s="38" t="s">
        <v>19</v>
      </c>
      <c r="C45" s="21" t="s">
        <v>105</v>
      </c>
      <c r="D45" s="21" t="s">
        <v>13</v>
      </c>
      <c r="E45" s="21" t="s">
        <v>14</v>
      </c>
      <c r="F45" s="21" t="s">
        <v>50</v>
      </c>
      <c r="G45" s="22" t="s">
        <v>15</v>
      </c>
      <c r="H45" s="22" t="s">
        <v>16</v>
      </c>
      <c r="I45" s="21" t="s">
        <v>27</v>
      </c>
      <c r="J45" s="21" t="s">
        <v>17</v>
      </c>
      <c r="K45" s="21" t="s">
        <v>18</v>
      </c>
      <c r="L45" s="21" t="s">
        <v>20</v>
      </c>
    </row>
    <row r="46" spans="1:12" ht="20.05" customHeight="1" x14ac:dyDescent="0.3">
      <c r="A46" s="19">
        <v>6</v>
      </c>
      <c r="B46" s="10"/>
      <c r="C46" s="10"/>
      <c r="D46" s="10"/>
      <c r="E46" s="10"/>
      <c r="F46" s="10"/>
      <c r="G46" s="10"/>
      <c r="H46" s="10"/>
      <c r="I46" s="10"/>
      <c r="J46" s="10"/>
      <c r="K46" s="10"/>
      <c r="L46" s="10"/>
    </row>
    <row r="47" spans="1:12" ht="20.05" customHeight="1" x14ac:dyDescent="0.3">
      <c r="A47" s="19">
        <v>7</v>
      </c>
      <c r="B47" s="10"/>
      <c r="C47" s="10"/>
      <c r="D47" s="10"/>
      <c r="E47" s="10"/>
      <c r="F47" s="10"/>
      <c r="G47" s="10"/>
      <c r="H47" s="10"/>
      <c r="I47" s="10"/>
      <c r="J47" s="10"/>
      <c r="K47" s="10"/>
      <c r="L47" s="10"/>
    </row>
    <row r="48" spans="1:12" ht="20.05" customHeight="1" x14ac:dyDescent="0.3">
      <c r="A48" s="19">
        <v>8</v>
      </c>
      <c r="B48" s="10"/>
      <c r="C48" s="10"/>
      <c r="D48" s="10"/>
      <c r="E48" s="10"/>
      <c r="F48" s="10"/>
      <c r="G48" s="10"/>
      <c r="H48" s="10"/>
      <c r="I48" s="10"/>
      <c r="J48" s="10"/>
      <c r="K48" s="10"/>
      <c r="L48" s="10"/>
    </row>
    <row r="49" spans="1:12" ht="20.05" customHeight="1" x14ac:dyDescent="0.3">
      <c r="A49" s="19">
        <v>9</v>
      </c>
      <c r="B49" s="10"/>
      <c r="C49" s="10"/>
      <c r="D49" s="10"/>
      <c r="E49" s="10"/>
      <c r="F49" s="10"/>
      <c r="G49" s="10"/>
      <c r="H49" s="10"/>
      <c r="I49" s="10"/>
      <c r="J49" s="10"/>
      <c r="K49" s="10"/>
      <c r="L49" s="10"/>
    </row>
    <row r="50" spans="1:12" ht="20.05" customHeight="1" x14ac:dyDescent="0.3">
      <c r="A50" s="36">
        <v>10</v>
      </c>
      <c r="B50" s="37"/>
      <c r="C50" s="37"/>
      <c r="D50" s="37"/>
      <c r="E50" s="37"/>
      <c r="F50" s="37"/>
      <c r="G50" s="37"/>
      <c r="H50" s="37"/>
      <c r="I50" s="37"/>
      <c r="J50" s="37"/>
      <c r="K50" s="37"/>
      <c r="L50" s="37"/>
    </row>
    <row r="51" spans="1:12" ht="20.05" customHeight="1" x14ac:dyDescent="0.3">
      <c r="A51" s="38">
        <v>11</v>
      </c>
      <c r="B51" s="39"/>
      <c r="C51" s="39"/>
      <c r="D51" s="39"/>
      <c r="E51" s="39"/>
      <c r="F51" s="39"/>
      <c r="G51" s="39"/>
      <c r="H51" s="39"/>
      <c r="I51" s="39"/>
      <c r="J51" s="39"/>
      <c r="K51" s="39"/>
      <c r="L51" s="39"/>
    </row>
    <row r="52" spans="1:12" ht="20.05" customHeight="1" x14ac:dyDescent="0.3">
      <c r="A52" s="38">
        <v>12</v>
      </c>
      <c r="B52" s="39"/>
      <c r="C52" s="39"/>
      <c r="D52" s="39"/>
      <c r="E52" s="39"/>
      <c r="F52" s="39"/>
      <c r="G52" s="39"/>
      <c r="H52" s="39"/>
      <c r="I52" s="39"/>
      <c r="J52" s="39"/>
      <c r="K52" s="39"/>
      <c r="L52" s="39"/>
    </row>
    <row r="53" spans="1:12" ht="20.05" customHeight="1" x14ac:dyDescent="0.3">
      <c r="A53" s="38">
        <v>13</v>
      </c>
      <c r="B53" s="39"/>
      <c r="C53" s="39"/>
      <c r="D53" s="39"/>
      <c r="E53" s="39"/>
      <c r="F53" s="39"/>
      <c r="G53" s="39"/>
      <c r="H53" s="39"/>
      <c r="I53" s="39"/>
      <c r="J53" s="39"/>
      <c r="K53" s="39"/>
      <c r="L53" s="39"/>
    </row>
    <row r="54" spans="1:12" ht="20.05" customHeight="1" x14ac:dyDescent="0.3">
      <c r="A54" s="38">
        <v>14</v>
      </c>
      <c r="B54" s="39"/>
      <c r="C54" s="39"/>
      <c r="D54" s="39"/>
      <c r="E54" s="39"/>
      <c r="F54" s="39"/>
      <c r="G54" s="39"/>
      <c r="H54" s="39"/>
      <c r="I54" s="39"/>
      <c r="J54" s="39"/>
      <c r="K54" s="39"/>
      <c r="L54" s="39"/>
    </row>
    <row r="55" spans="1:12" ht="20.05" customHeight="1" x14ac:dyDescent="0.3">
      <c r="A55" s="40">
        <v>15</v>
      </c>
      <c r="B55" s="41"/>
      <c r="C55" s="41"/>
      <c r="D55" s="41"/>
      <c r="E55" s="41"/>
      <c r="F55" s="41"/>
      <c r="G55" s="41"/>
      <c r="H55" s="41"/>
      <c r="I55" s="41"/>
      <c r="J55" s="41"/>
      <c r="K55" s="41"/>
      <c r="L55" s="41"/>
    </row>
    <row r="56" spans="1:12" ht="20.05" customHeight="1" x14ac:dyDescent="0.3">
      <c r="A56" s="38">
        <v>16</v>
      </c>
      <c r="B56" s="39"/>
      <c r="C56" s="39"/>
      <c r="D56" s="39"/>
      <c r="E56" s="39"/>
      <c r="F56" s="39"/>
      <c r="G56" s="39"/>
      <c r="H56" s="39"/>
      <c r="I56" s="39"/>
      <c r="J56" s="39"/>
      <c r="K56" s="39"/>
      <c r="L56" s="39"/>
    </row>
    <row r="57" spans="1:12" ht="20.05" customHeight="1" x14ac:dyDescent="0.3">
      <c r="A57" s="38">
        <v>17</v>
      </c>
      <c r="B57" s="39"/>
      <c r="C57" s="39"/>
      <c r="D57" s="39"/>
      <c r="E57" s="39"/>
      <c r="F57" s="39"/>
      <c r="G57" s="39"/>
      <c r="H57" s="39"/>
      <c r="I57" s="39"/>
      <c r="J57" s="39"/>
      <c r="K57" s="39"/>
      <c r="L57" s="39"/>
    </row>
    <row r="58" spans="1:12" ht="20.05" customHeight="1" x14ac:dyDescent="0.3">
      <c r="A58" s="38">
        <v>18</v>
      </c>
      <c r="B58" s="39"/>
      <c r="C58" s="39"/>
      <c r="D58" s="39"/>
      <c r="E58" s="39"/>
      <c r="F58" s="39"/>
      <c r="G58" s="39"/>
      <c r="H58" s="39"/>
      <c r="I58" s="39"/>
      <c r="J58" s="39"/>
      <c r="K58" s="39"/>
      <c r="L58" s="39"/>
    </row>
    <row r="59" spans="1:12" ht="20.05" customHeight="1" x14ac:dyDescent="0.3">
      <c r="A59" s="38">
        <v>19</v>
      </c>
      <c r="B59" s="39"/>
      <c r="C59" s="39"/>
      <c r="D59" s="39"/>
      <c r="E59" s="39"/>
      <c r="F59" s="39"/>
      <c r="G59" s="39"/>
      <c r="H59" s="39"/>
      <c r="I59" s="39"/>
      <c r="J59" s="39"/>
      <c r="K59" s="39"/>
      <c r="L59" s="39"/>
    </row>
    <row r="60" spans="1:12" ht="20.05" customHeight="1" x14ac:dyDescent="0.3">
      <c r="A60" s="40">
        <v>20</v>
      </c>
      <c r="B60" s="41"/>
      <c r="C60" s="41"/>
      <c r="D60" s="41"/>
      <c r="E60" s="41"/>
      <c r="F60" s="41"/>
      <c r="G60" s="41"/>
      <c r="H60" s="41"/>
      <c r="I60" s="41"/>
      <c r="J60" s="41"/>
      <c r="K60" s="41"/>
      <c r="L60" s="41"/>
    </row>
    <row r="61" spans="1:12" ht="20.05" customHeight="1" x14ac:dyDescent="0.3">
      <c r="A61" s="38">
        <v>21</v>
      </c>
      <c r="B61" s="39"/>
      <c r="C61" s="39"/>
      <c r="D61" s="39"/>
      <c r="E61" s="39"/>
      <c r="F61" s="39"/>
      <c r="G61" s="39"/>
      <c r="H61" s="39"/>
      <c r="I61" s="39"/>
      <c r="J61" s="39"/>
      <c r="K61" s="39"/>
      <c r="L61" s="39"/>
    </row>
    <row r="62" spans="1:12" ht="20.05" customHeight="1" x14ac:dyDescent="0.3">
      <c r="A62" s="38">
        <v>22</v>
      </c>
      <c r="B62" s="39"/>
      <c r="C62" s="39"/>
      <c r="D62" s="39"/>
      <c r="E62" s="39"/>
      <c r="F62" s="39"/>
      <c r="G62" s="39"/>
      <c r="H62" s="39"/>
      <c r="I62" s="39"/>
      <c r="J62" s="39"/>
      <c r="K62" s="39"/>
      <c r="L62" s="39"/>
    </row>
    <row r="63" spans="1:12" ht="20.05" customHeight="1" x14ac:dyDescent="0.3">
      <c r="A63" s="38">
        <v>23</v>
      </c>
      <c r="B63" s="39"/>
      <c r="C63" s="39"/>
      <c r="D63" s="39"/>
      <c r="E63" s="39"/>
      <c r="F63" s="39"/>
      <c r="G63" s="39"/>
      <c r="H63" s="39"/>
      <c r="I63" s="39"/>
      <c r="J63" s="39"/>
      <c r="K63" s="39"/>
      <c r="L63" s="39"/>
    </row>
    <row r="64" spans="1:12" ht="20.05" customHeight="1" x14ac:dyDescent="0.3">
      <c r="A64" s="38">
        <v>24</v>
      </c>
      <c r="B64" s="39"/>
      <c r="C64" s="39"/>
      <c r="D64" s="39"/>
      <c r="E64" s="39"/>
      <c r="F64" s="39"/>
      <c r="G64" s="39"/>
      <c r="H64" s="39"/>
      <c r="I64" s="39"/>
      <c r="J64" s="39"/>
      <c r="K64" s="39"/>
      <c r="L64" s="39"/>
    </row>
    <row r="65" spans="1:12" ht="20.05" customHeight="1" x14ac:dyDescent="0.3">
      <c r="A65" s="40">
        <v>25</v>
      </c>
      <c r="B65" s="41"/>
      <c r="C65" s="41"/>
      <c r="D65" s="41"/>
      <c r="E65" s="41"/>
      <c r="F65" s="41"/>
      <c r="G65" s="41"/>
      <c r="H65" s="41"/>
      <c r="I65" s="41"/>
      <c r="J65" s="41"/>
      <c r="K65" s="41"/>
      <c r="L65" s="41"/>
    </row>
    <row r="66" spans="1:12" ht="20.05" customHeight="1" x14ac:dyDescent="0.3">
      <c r="A66" s="38">
        <v>26</v>
      </c>
      <c r="B66" s="39"/>
      <c r="C66" s="39"/>
      <c r="D66" s="39"/>
      <c r="E66" s="39"/>
      <c r="F66" s="39"/>
      <c r="G66" s="39"/>
      <c r="H66" s="39"/>
      <c r="I66" s="39"/>
      <c r="J66" s="39"/>
      <c r="K66" s="39"/>
      <c r="L66" s="39"/>
    </row>
    <row r="67" spans="1:12" ht="20.05" customHeight="1" x14ac:dyDescent="0.3">
      <c r="A67" s="38">
        <v>27</v>
      </c>
      <c r="B67" s="39"/>
      <c r="C67" s="39"/>
      <c r="D67" s="39"/>
      <c r="E67" s="39"/>
      <c r="F67" s="39"/>
      <c r="G67" s="39"/>
      <c r="H67" s="39"/>
      <c r="I67" s="39"/>
      <c r="J67" s="39"/>
      <c r="K67" s="39"/>
      <c r="L67" s="39"/>
    </row>
    <row r="68" spans="1:12" ht="20.05" customHeight="1" x14ac:dyDescent="0.3">
      <c r="A68" s="38">
        <v>28</v>
      </c>
      <c r="B68" s="39"/>
      <c r="C68" s="39"/>
      <c r="D68" s="39"/>
      <c r="E68" s="39"/>
      <c r="F68" s="39"/>
      <c r="G68" s="39"/>
      <c r="H68" s="39"/>
      <c r="I68" s="39"/>
      <c r="J68" s="39"/>
      <c r="K68" s="39"/>
      <c r="L68" s="39"/>
    </row>
    <row r="69" spans="1:12" ht="20.05" customHeight="1" x14ac:dyDescent="0.3">
      <c r="A69" s="38">
        <v>29</v>
      </c>
      <c r="B69" s="39"/>
      <c r="C69" s="39"/>
      <c r="D69" s="39"/>
      <c r="E69" s="39"/>
      <c r="F69" s="39"/>
      <c r="G69" s="39"/>
      <c r="H69" s="39"/>
      <c r="I69" s="39"/>
      <c r="J69" s="39"/>
      <c r="K69" s="39"/>
      <c r="L69" s="39"/>
    </row>
    <row r="70" spans="1:12" ht="20.05" customHeight="1" x14ac:dyDescent="0.3">
      <c r="A70" s="40">
        <v>30</v>
      </c>
      <c r="B70" s="41"/>
      <c r="C70" s="41"/>
      <c r="D70" s="41"/>
      <c r="E70" s="41"/>
      <c r="F70" s="41"/>
      <c r="G70" s="41"/>
      <c r="H70" s="41"/>
      <c r="I70" s="41"/>
      <c r="J70" s="41"/>
      <c r="K70" s="41"/>
      <c r="L70" s="41"/>
    </row>
    <row r="71" spans="1:12" ht="20.05" customHeight="1" x14ac:dyDescent="0.3">
      <c r="A71" s="38">
        <v>31</v>
      </c>
      <c r="B71" s="39"/>
      <c r="C71" s="39"/>
      <c r="D71" s="39"/>
      <c r="E71" s="39"/>
      <c r="F71" s="39"/>
      <c r="G71" s="39"/>
      <c r="H71" s="39"/>
      <c r="I71" s="39"/>
      <c r="J71" s="39"/>
      <c r="K71" s="39"/>
      <c r="L71" s="39"/>
    </row>
    <row r="72" spans="1:12" ht="20.05" customHeight="1" x14ac:dyDescent="0.3">
      <c r="A72" s="38">
        <v>32</v>
      </c>
      <c r="B72" s="39"/>
      <c r="C72" s="39"/>
      <c r="D72" s="39"/>
      <c r="E72" s="39"/>
      <c r="F72" s="39"/>
      <c r="G72" s="39"/>
      <c r="H72" s="39"/>
      <c r="I72" s="39"/>
      <c r="J72" s="39"/>
      <c r="K72" s="39"/>
      <c r="L72" s="39"/>
    </row>
    <row r="73" spans="1:12" ht="20.05" customHeight="1" x14ac:dyDescent="0.3">
      <c r="A73" s="38">
        <v>33</v>
      </c>
      <c r="B73" s="39"/>
      <c r="C73" s="39"/>
      <c r="D73" s="39"/>
      <c r="E73" s="39"/>
      <c r="F73" s="39"/>
      <c r="G73" s="39"/>
      <c r="H73" s="39"/>
      <c r="I73" s="39"/>
      <c r="J73" s="39"/>
      <c r="K73" s="39"/>
      <c r="L73" s="39"/>
    </row>
    <row r="74" spans="1:12" ht="20.05" customHeight="1" x14ac:dyDescent="0.3">
      <c r="A74" s="38">
        <v>34</v>
      </c>
      <c r="B74" s="39"/>
      <c r="C74" s="39"/>
      <c r="D74" s="39"/>
      <c r="E74" s="39"/>
      <c r="F74" s="39"/>
      <c r="G74" s="39"/>
      <c r="H74" s="39"/>
      <c r="I74" s="39"/>
      <c r="J74" s="39"/>
      <c r="K74" s="39"/>
      <c r="L74" s="39"/>
    </row>
    <row r="75" spans="1:12" ht="20.05" customHeight="1" x14ac:dyDescent="0.3">
      <c r="A75" s="40">
        <v>35</v>
      </c>
      <c r="B75" s="41"/>
      <c r="C75" s="41"/>
      <c r="D75" s="41"/>
      <c r="E75" s="41"/>
      <c r="F75" s="41"/>
      <c r="G75" s="41"/>
      <c r="H75" s="41"/>
      <c r="I75" s="41"/>
      <c r="J75" s="41"/>
      <c r="K75" s="41"/>
      <c r="L75" s="41"/>
    </row>
    <row r="76" spans="1:12" ht="20.05" customHeight="1" x14ac:dyDescent="0.3">
      <c r="A76" s="38">
        <v>36</v>
      </c>
      <c r="B76" s="39"/>
      <c r="C76" s="39"/>
      <c r="D76" s="39"/>
      <c r="E76" s="39"/>
      <c r="F76" s="39"/>
      <c r="G76" s="39"/>
      <c r="H76" s="39"/>
      <c r="I76" s="39"/>
      <c r="J76" s="39"/>
      <c r="K76" s="39"/>
      <c r="L76" s="39"/>
    </row>
    <row r="77" spans="1:12" ht="20.05" customHeight="1" x14ac:dyDescent="0.3">
      <c r="A77" s="38">
        <v>37</v>
      </c>
      <c r="B77" s="39"/>
      <c r="C77" s="39"/>
      <c r="D77" s="39"/>
      <c r="E77" s="39"/>
      <c r="F77" s="39"/>
      <c r="G77" s="39"/>
      <c r="H77" s="39"/>
      <c r="I77" s="39"/>
      <c r="J77" s="39"/>
      <c r="K77" s="39"/>
      <c r="L77" s="39"/>
    </row>
    <row r="78" spans="1:12" ht="20.05" customHeight="1" x14ac:dyDescent="0.3">
      <c r="A78" s="38">
        <v>38</v>
      </c>
      <c r="B78" s="39"/>
      <c r="C78" s="39"/>
      <c r="D78" s="39"/>
      <c r="E78" s="39"/>
      <c r="F78" s="39"/>
      <c r="G78" s="39"/>
      <c r="H78" s="39"/>
      <c r="I78" s="39"/>
      <c r="J78" s="39"/>
      <c r="K78" s="39"/>
      <c r="L78" s="39"/>
    </row>
    <row r="79" spans="1:12" ht="20.05" customHeight="1" x14ac:dyDescent="0.3">
      <c r="A79" s="38">
        <v>39</v>
      </c>
      <c r="B79" s="39"/>
      <c r="C79" s="39"/>
      <c r="D79" s="39"/>
      <c r="E79" s="39"/>
      <c r="F79" s="39"/>
      <c r="G79" s="39"/>
      <c r="H79" s="39"/>
      <c r="I79" s="39"/>
      <c r="J79" s="39"/>
      <c r="K79" s="39"/>
      <c r="L79" s="39"/>
    </row>
    <row r="80" spans="1:12" ht="20.05" customHeight="1" x14ac:dyDescent="0.3">
      <c r="A80" s="40">
        <v>40</v>
      </c>
      <c r="B80" s="41"/>
      <c r="C80" s="41"/>
      <c r="D80" s="41"/>
      <c r="E80" s="41"/>
      <c r="F80" s="41"/>
      <c r="G80" s="41"/>
      <c r="H80" s="41"/>
      <c r="I80" s="41"/>
      <c r="J80" s="41"/>
      <c r="K80" s="41"/>
      <c r="L80" s="41"/>
    </row>
    <row r="81" spans="1:12" ht="20.05" customHeight="1" x14ac:dyDescent="0.3">
      <c r="A81" s="38">
        <v>41</v>
      </c>
      <c r="B81" s="39"/>
      <c r="C81" s="39"/>
      <c r="D81" s="39"/>
      <c r="E81" s="39"/>
      <c r="F81" s="39"/>
      <c r="G81" s="39"/>
      <c r="H81" s="39"/>
      <c r="I81" s="39"/>
      <c r="J81" s="39"/>
      <c r="K81" s="39"/>
      <c r="L81" s="39"/>
    </row>
    <row r="82" spans="1:12" ht="20.05" customHeight="1" x14ac:dyDescent="0.3">
      <c r="A82" s="38">
        <v>42</v>
      </c>
      <c r="B82" s="39"/>
      <c r="C82" s="39"/>
      <c r="D82" s="39"/>
      <c r="E82" s="39"/>
      <c r="F82" s="39"/>
      <c r="G82" s="39"/>
      <c r="H82" s="39"/>
      <c r="I82" s="39"/>
      <c r="J82" s="39"/>
      <c r="K82" s="39"/>
      <c r="L82" s="39"/>
    </row>
    <row r="83" spans="1:12" ht="20.05" customHeight="1" x14ac:dyDescent="0.3">
      <c r="A83" s="38">
        <v>43</v>
      </c>
      <c r="B83" s="39"/>
      <c r="C83" s="39"/>
      <c r="D83" s="39"/>
      <c r="E83" s="39"/>
      <c r="F83" s="39"/>
      <c r="G83" s="39"/>
      <c r="H83" s="39"/>
      <c r="I83" s="39"/>
      <c r="J83" s="39"/>
      <c r="K83" s="39"/>
      <c r="L83" s="39"/>
    </row>
    <row r="84" spans="1:12" ht="20.05" customHeight="1" x14ac:dyDescent="0.3">
      <c r="A84" s="38">
        <v>44</v>
      </c>
      <c r="B84" s="39"/>
      <c r="C84" s="39"/>
      <c r="D84" s="39"/>
      <c r="E84" s="39"/>
      <c r="F84" s="39"/>
      <c r="G84" s="39"/>
      <c r="H84" s="39"/>
      <c r="I84" s="39"/>
      <c r="J84" s="39"/>
      <c r="K84" s="39"/>
      <c r="L84" s="39"/>
    </row>
    <row r="85" spans="1:12" ht="20.05" customHeight="1" x14ac:dyDescent="0.3">
      <c r="A85" s="40">
        <v>45</v>
      </c>
      <c r="B85" s="41"/>
      <c r="C85" s="41"/>
      <c r="D85" s="41"/>
      <c r="E85" s="41"/>
      <c r="F85" s="41"/>
      <c r="G85" s="41"/>
      <c r="H85" s="41"/>
      <c r="I85" s="41"/>
      <c r="J85" s="41"/>
      <c r="K85" s="41"/>
      <c r="L85" s="41"/>
    </row>
    <row r="86" spans="1:12" x14ac:dyDescent="0.3">
      <c r="A86" s="38">
        <v>46</v>
      </c>
      <c r="B86" s="39"/>
      <c r="C86" s="39"/>
      <c r="D86" s="39"/>
      <c r="E86" s="39"/>
      <c r="F86" s="39"/>
      <c r="G86" s="39"/>
      <c r="H86" s="39"/>
      <c r="I86" s="39"/>
      <c r="J86" s="39"/>
      <c r="K86" s="39"/>
      <c r="L86" s="39"/>
    </row>
  </sheetData>
  <sheetProtection sheet="1" objects="1" scenarios="1" formatCells="0" insertHyperlinks="0" selectLockedCells="1" autoFilter="0"/>
  <mergeCells count="88">
    <mergeCell ref="G29:H29"/>
    <mergeCell ref="I29:J29"/>
    <mergeCell ref="D9:F9"/>
    <mergeCell ref="A25:B25"/>
    <mergeCell ref="G27:H27"/>
    <mergeCell ref="I27:J27"/>
    <mergeCell ref="G28:H28"/>
    <mergeCell ref="I28:J28"/>
    <mergeCell ref="B16:D16"/>
    <mergeCell ref="J16:L16"/>
    <mergeCell ref="A17:L17"/>
    <mergeCell ref="K19:L19"/>
    <mergeCell ref="K20:L20"/>
    <mergeCell ref="A15:L15"/>
    <mergeCell ref="F16:H16"/>
    <mergeCell ref="K24:L24"/>
    <mergeCell ref="K25:L25"/>
    <mergeCell ref="C23:D23"/>
    <mergeCell ref="C22:D22"/>
    <mergeCell ref="C21:D21"/>
    <mergeCell ref="I23:J23"/>
    <mergeCell ref="K21:L21"/>
    <mergeCell ref="K22:L22"/>
    <mergeCell ref="K23:L23"/>
    <mergeCell ref="I25:J25"/>
    <mergeCell ref="I21:J21"/>
    <mergeCell ref="I22:J22"/>
    <mergeCell ref="B2:D2"/>
    <mergeCell ref="A3:L5"/>
    <mergeCell ref="F1:H1"/>
    <mergeCell ref="F2:H2"/>
    <mergeCell ref="B1:D1"/>
    <mergeCell ref="J1:L1"/>
    <mergeCell ref="J2:L2"/>
    <mergeCell ref="A6:L6"/>
    <mergeCell ref="H9:I9"/>
    <mergeCell ref="B11:C11"/>
    <mergeCell ref="B10:C10"/>
    <mergeCell ref="B9:C9"/>
    <mergeCell ref="E10:F10"/>
    <mergeCell ref="E11:F11"/>
    <mergeCell ref="H10:I10"/>
    <mergeCell ref="H11:I11"/>
    <mergeCell ref="K9:L9"/>
    <mergeCell ref="K10:L10"/>
    <mergeCell ref="J7:L7"/>
    <mergeCell ref="E8:F8"/>
    <mergeCell ref="K11:L11"/>
    <mergeCell ref="H8:I8"/>
    <mergeCell ref="K8:L8"/>
    <mergeCell ref="A37:L37"/>
    <mergeCell ref="A18:B18"/>
    <mergeCell ref="A19:B19"/>
    <mergeCell ref="A20:B20"/>
    <mergeCell ref="A21:B21"/>
    <mergeCell ref="A22:B22"/>
    <mergeCell ref="A23:B23"/>
    <mergeCell ref="K18:L18"/>
    <mergeCell ref="I18:J18"/>
    <mergeCell ref="G18:H18"/>
    <mergeCell ref="E18:F18"/>
    <mergeCell ref="C18:D18"/>
    <mergeCell ref="A26:L26"/>
    <mergeCell ref="E25:F25"/>
    <mergeCell ref="A24:B24"/>
    <mergeCell ref="I19:J19"/>
    <mergeCell ref="A12:L12"/>
    <mergeCell ref="J13:L13"/>
    <mergeCell ref="B14:L14"/>
    <mergeCell ref="I20:J20"/>
    <mergeCell ref="B13:D13"/>
    <mergeCell ref="F13:H13"/>
    <mergeCell ref="E7:I7"/>
    <mergeCell ref="B7:C7"/>
    <mergeCell ref="A34:L36"/>
    <mergeCell ref="C20:D20"/>
    <mergeCell ref="C19:D19"/>
    <mergeCell ref="C25:D25"/>
    <mergeCell ref="E20:F20"/>
    <mergeCell ref="A30:L30"/>
    <mergeCell ref="E19:F19"/>
    <mergeCell ref="E21:F21"/>
    <mergeCell ref="E22:F22"/>
    <mergeCell ref="E23:F23"/>
    <mergeCell ref="E24:F24"/>
    <mergeCell ref="C24:D24"/>
    <mergeCell ref="I24:J24"/>
    <mergeCell ref="B8:C8"/>
  </mergeCells>
  <conditionalFormatting sqref="E7 J13">
    <cfRule type="containsText" dxfId="11" priority="4" operator="containsText" text="LILAC">
      <formula>NOT(ISERROR(SEARCH("LILAC",E7)))</formula>
    </cfRule>
    <cfRule type="containsText" dxfId="10" priority="5" operator="containsText" text="MAROON">
      <formula>NOT(ISERROR(SEARCH("MAROON",E7)))</formula>
    </cfRule>
    <cfRule type="containsText" dxfId="9" priority="6" operator="containsText" text="ORANGE">
      <formula>NOT(ISERROR(SEARCH("ORANGE",E7)))</formula>
    </cfRule>
    <cfRule type="containsText" dxfId="8" priority="7" operator="containsText" text="GREEN">
      <formula>NOT(ISERROR(SEARCH("GREEN",E7)))</formula>
    </cfRule>
    <cfRule type="containsText" dxfId="7" priority="8" operator="containsText" text="RED">
      <formula>NOT(ISERROR(SEARCH("RED",E7)))</formula>
    </cfRule>
    <cfRule type="containsText" dxfId="6" priority="9" operator="containsText" text="WHITE">
      <formula>NOT(ISERROR(SEARCH("WHITE",E7)))</formula>
    </cfRule>
    <cfRule type="containsText" dxfId="5" priority="10" operator="containsText" text="PURPLE">
      <formula>NOT(ISERROR(SEARCH("PURPLE",E7)))</formula>
    </cfRule>
    <cfRule type="containsText" dxfId="4" priority="11" operator="containsText" text="BLUE">
      <formula>NOT(ISERROR(SEARCH("BLUE",E7)))</formula>
    </cfRule>
    <cfRule type="containsText" dxfId="3" priority="12" operator="containsText" text="YELLOW">
      <formula>NOT(ISERROR(SEARCH("YELLOW",E7)))</formula>
    </cfRule>
  </conditionalFormatting>
  <conditionalFormatting sqref="J13">
    <cfRule type="containsText" dxfId="2" priority="3" operator="containsText" text="BLACK">
      <formula>NOT(ISERROR(SEARCH("BLACK",J13)))</formula>
    </cfRule>
  </conditionalFormatting>
  <conditionalFormatting sqref="E7">
    <cfRule type="containsText" dxfId="1" priority="2" operator="containsText" text="BLACK">
      <formula>NOT(ISERROR(SEARCH("BLACK",E7)))</formula>
    </cfRule>
  </conditionalFormatting>
  <conditionalFormatting sqref="J2">
    <cfRule type="containsText" dxfId="0" priority="1" operator="containsText" text="ASAP">
      <formula>NOT(ISERROR(SEARCH("ASAP",J2)))</formula>
    </cfRule>
  </conditionalFormatting>
  <dataValidations count="1">
    <dataValidation type="whole" operator="greaterThan" allowBlank="1" showInputMessage="1" showErrorMessage="1" sqref="H8:I8">
      <formula1>30</formula1>
    </dataValidation>
  </dataValidations>
  <printOptions horizontalCentered="1" verticalCentered="1"/>
  <pageMargins left="0.23622047244094491" right="0.23622047244094491" top="0.55118110236220474" bottom="0.55118110236220474" header="0.31496062992125984" footer="0.31496062992125984"/>
  <pageSetup paperSize="9" scale="87" orientation="portrait" r:id="rId1"/>
  <headerFooter>
    <oddHeader>&amp;L&amp;8Dolphin Plastics and Packaging&amp;C&amp;"-,Bold"&amp;10&amp;UProduction Sheet&amp;R&amp;8&amp;D</oddHeader>
  </headerFooter>
  <extLst>
    <ext xmlns:x14="http://schemas.microsoft.com/office/spreadsheetml/2009/9/main" uri="{CCE6A557-97BC-4b89-ADB6-D9C93CAAB3DF}">
      <x14:dataValidations xmlns:xm="http://schemas.microsoft.com/office/excel/2006/main" count="10">
        <x14:dataValidation type="list" allowBlank="1" showInputMessage="1" showErrorMessage="1">
          <x14:formula1>
            <xm:f>Sheet2!$A$36:$A$37</xm:f>
          </x14:formula1>
          <xm:sqref>K9:L9</xm:sqref>
        </x14:dataValidation>
        <x14:dataValidation type="list" allowBlank="1" showInputMessage="1" showErrorMessage="1">
          <x14:formula1>
            <xm:f>Sheet2!$A$40:$A$43</xm:f>
          </x14:formula1>
          <xm:sqref>K10:L10</xm:sqref>
        </x14:dataValidation>
        <x14:dataValidation type="list" allowBlank="1" showInputMessage="1" showErrorMessage="1">
          <x14:formula1>
            <xm:f>Sheet2!$A$56:$A$58</xm:f>
          </x14:formula1>
          <xm:sqref>F13:H13</xm:sqref>
        </x14:dataValidation>
        <x14:dataValidation type="list" allowBlank="1" showInputMessage="1" showErrorMessage="1">
          <x14:formula1>
            <xm:f>Sheet2!$N$4:$N$6</xm:f>
          </x14:formula1>
          <xm:sqref>B16:D16</xm:sqref>
        </x14:dataValidation>
        <x14:dataValidation type="list" allowBlank="1" showInputMessage="1" showErrorMessage="1">
          <x14:formula1>
            <xm:f>Sheet2!$A$46:$A$48</xm:f>
          </x14:formula1>
          <xm:sqref>K11:L11</xm:sqref>
        </x14:dataValidation>
        <x14:dataValidation type="list" allowBlank="1" showInputMessage="1" showErrorMessage="1">
          <x14:formula1>
            <xm:f>Sheet2!$A$61:$A$75</xm:f>
          </x14:formula1>
          <xm:sqref>J13:L13</xm:sqref>
        </x14:dataValidation>
        <x14:dataValidation type="list" allowBlank="1" showInputMessage="1" showErrorMessage="1">
          <x14:formula1>
            <xm:f>Sheet2!$A$31:$A$33</xm:f>
          </x14:formula1>
          <xm:sqref>B7:C7</xm:sqref>
        </x14:dataValidation>
        <x14:dataValidation type="list" allowBlank="1" showInputMessage="1" showErrorMessage="1">
          <x14:formula1>
            <xm:f>Sheet2!$A$9:$A$28</xm:f>
          </x14:formula1>
          <xm:sqref>E7:I7</xm:sqref>
        </x14:dataValidation>
        <x14:dataValidation type="list" allowBlank="1" showInputMessage="1" showErrorMessage="1">
          <x14:formula1>
            <xm:f>Sheet2!$A$51:$A$53</xm:f>
          </x14:formula1>
          <xm:sqref>B13:D13</xm:sqref>
        </x14:dataValidation>
        <x14:dataValidation type="list" allowBlank="1" showInputMessage="1" showErrorMessage="1">
          <x14:formula1>
            <xm:f>Sheet2!$A$4:$A$6</xm:f>
          </x14:formula1>
          <xm:sqref>J2:L2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:W75"/>
  <sheetViews>
    <sheetView workbookViewId="0">
      <selection activeCell="N19" sqref="N19"/>
    </sheetView>
  </sheetViews>
  <sheetFormatPr defaultRowHeight="15.05" x14ac:dyDescent="0.3"/>
  <cols>
    <col min="1" max="1" width="9.21875" bestFit="1" customWidth="1"/>
  </cols>
  <sheetData>
    <row r="1" spans="1:22" x14ac:dyDescent="0.3">
      <c r="A1" s="43" t="s">
        <v>37</v>
      </c>
      <c r="B1" s="43"/>
      <c r="C1" s="43"/>
      <c r="D1" s="43"/>
      <c r="E1" s="43"/>
      <c r="F1" s="43"/>
      <c r="G1" s="43"/>
      <c r="H1" s="43"/>
      <c r="I1" s="43"/>
      <c r="J1" s="43"/>
      <c r="K1" s="43"/>
      <c r="L1" s="43"/>
      <c r="M1" s="43"/>
      <c r="N1" s="43" t="s">
        <v>38</v>
      </c>
      <c r="O1" s="1"/>
      <c r="P1" s="1"/>
      <c r="Q1" s="1"/>
      <c r="R1" s="1"/>
      <c r="S1" s="1"/>
      <c r="T1" s="1"/>
      <c r="U1" s="1"/>
      <c r="V1" s="1"/>
    </row>
    <row r="2" spans="1:22" x14ac:dyDescent="0.3">
      <c r="A2" s="43"/>
      <c r="B2" s="43"/>
      <c r="C2" s="43"/>
      <c r="D2" s="43"/>
      <c r="E2" s="43"/>
      <c r="F2" s="43"/>
      <c r="G2" s="43"/>
      <c r="H2" s="43"/>
      <c r="I2" s="43"/>
      <c r="J2" s="43"/>
      <c r="K2" s="43"/>
      <c r="L2" s="43"/>
      <c r="M2" s="43"/>
      <c r="N2" s="43"/>
      <c r="O2" s="1"/>
      <c r="P2" s="1"/>
      <c r="Q2" s="1"/>
      <c r="R2" s="1"/>
      <c r="S2" s="1"/>
      <c r="T2" s="1"/>
      <c r="U2" s="1"/>
      <c r="V2" s="1"/>
    </row>
    <row r="3" spans="1:22" x14ac:dyDescent="0.3">
      <c r="A3" s="45" t="s">
        <v>57</v>
      </c>
      <c r="B3" s="43"/>
      <c r="C3" s="43"/>
      <c r="D3" s="43"/>
      <c r="E3" s="43"/>
      <c r="F3" s="43"/>
      <c r="G3" s="43"/>
      <c r="H3" s="43"/>
      <c r="I3" s="43"/>
      <c r="J3" s="43"/>
      <c r="K3" s="43"/>
      <c r="L3" s="43"/>
      <c r="M3" s="43"/>
      <c r="N3" s="45" t="s">
        <v>22</v>
      </c>
      <c r="O3" s="1"/>
      <c r="P3" s="1"/>
      <c r="Q3" s="1"/>
      <c r="R3" s="1"/>
      <c r="S3" s="1"/>
      <c r="T3" s="1"/>
      <c r="U3" s="1"/>
      <c r="V3" s="1"/>
    </row>
    <row r="4" spans="1:22" x14ac:dyDescent="0.3">
      <c r="A4" s="53">
        <f ca="1">DATE(YEAR(Sheet1!J1),MONTH(Sheet1!J1)+1,DAY(Sheet1!J1))</f>
        <v>43954</v>
      </c>
      <c r="B4" s="43"/>
      <c r="C4" s="43"/>
      <c r="D4" s="43"/>
      <c r="E4" s="43"/>
      <c r="F4" s="43"/>
      <c r="G4" s="43"/>
      <c r="H4" s="43"/>
      <c r="I4" s="43"/>
      <c r="J4" s="43"/>
      <c r="K4" s="43"/>
      <c r="L4" s="43"/>
      <c r="M4" s="43"/>
      <c r="N4" s="5" t="s">
        <v>75</v>
      </c>
      <c r="O4" s="1"/>
      <c r="P4" s="1"/>
      <c r="Q4" s="1"/>
      <c r="R4" s="1"/>
      <c r="S4" s="1"/>
      <c r="T4" s="1"/>
      <c r="U4" s="1"/>
      <c r="V4" s="1"/>
    </row>
    <row r="5" spans="1:22" x14ac:dyDescent="0.3">
      <c r="A5" s="53">
        <f ca="1">DATE(YEAR(Sheet1!J1),MONTH(Sheet1!J1),DAY(Sheet1!J1)+21)</f>
        <v>43945</v>
      </c>
      <c r="B5" s="43"/>
      <c r="C5" s="43"/>
      <c r="D5" s="43"/>
      <c r="E5" s="43"/>
      <c r="F5" s="43"/>
      <c r="G5" s="43"/>
      <c r="H5" s="43"/>
      <c r="I5" s="43"/>
      <c r="J5" s="43"/>
      <c r="K5" s="43"/>
      <c r="L5" s="43"/>
      <c r="M5" s="43"/>
      <c r="N5" s="5" t="s">
        <v>34</v>
      </c>
      <c r="O5" s="1"/>
      <c r="P5" s="1"/>
      <c r="Q5" s="1"/>
      <c r="R5" s="1"/>
      <c r="S5" s="1"/>
      <c r="T5" s="1"/>
      <c r="U5" s="1"/>
      <c r="V5" s="1"/>
    </row>
    <row r="6" spans="1:22" x14ac:dyDescent="0.3">
      <c r="A6" s="5" t="s">
        <v>162</v>
      </c>
      <c r="B6" s="43"/>
      <c r="C6" s="43"/>
      <c r="D6" s="43"/>
      <c r="E6" s="43"/>
      <c r="F6" s="43"/>
      <c r="G6" s="43"/>
      <c r="H6" s="43"/>
      <c r="I6" s="43"/>
      <c r="J6" s="43"/>
      <c r="K6" s="43"/>
      <c r="L6" s="43"/>
      <c r="M6" s="43"/>
      <c r="N6" s="5" t="s">
        <v>55</v>
      </c>
      <c r="O6" s="1"/>
      <c r="P6" s="1"/>
      <c r="Q6" s="1"/>
      <c r="R6" s="1"/>
      <c r="S6" s="1"/>
      <c r="T6" s="1"/>
      <c r="U6" s="1"/>
      <c r="V6" s="1"/>
    </row>
    <row r="7" spans="1:22" x14ac:dyDescent="0.3">
      <c r="A7" s="5"/>
      <c r="B7" s="43"/>
      <c r="C7" s="43"/>
      <c r="D7" s="43"/>
      <c r="E7" s="43"/>
      <c r="F7" s="43"/>
      <c r="G7" s="43"/>
      <c r="H7" s="43"/>
      <c r="I7" s="43"/>
      <c r="J7" s="43"/>
      <c r="K7" s="43"/>
      <c r="L7" s="43"/>
      <c r="M7" s="43"/>
      <c r="N7" s="43"/>
      <c r="O7" s="1"/>
      <c r="P7" s="1"/>
      <c r="Q7" s="1"/>
      <c r="R7" s="1"/>
      <c r="S7" s="1"/>
      <c r="T7" s="1"/>
      <c r="U7" s="1"/>
      <c r="V7" s="1"/>
    </row>
    <row r="8" spans="1:22" x14ac:dyDescent="0.3">
      <c r="A8" s="44" t="s">
        <v>47</v>
      </c>
      <c r="B8" s="43"/>
      <c r="C8" s="43"/>
      <c r="D8" s="43"/>
      <c r="E8" s="43"/>
      <c r="F8" s="43"/>
      <c r="G8" s="43"/>
      <c r="H8" s="43"/>
      <c r="I8" s="43"/>
      <c r="J8" s="43"/>
      <c r="K8" s="43"/>
      <c r="L8" s="43"/>
      <c r="M8" s="43"/>
      <c r="N8" s="45" t="s">
        <v>73</v>
      </c>
      <c r="O8" s="1"/>
      <c r="P8" s="1"/>
      <c r="Q8" s="1"/>
      <c r="R8" s="1"/>
      <c r="S8" s="1"/>
      <c r="T8" s="1"/>
      <c r="U8" s="1"/>
      <c r="V8" s="1"/>
    </row>
    <row r="9" spans="1:22" x14ac:dyDescent="0.3">
      <c r="A9" s="46" t="s">
        <v>131</v>
      </c>
      <c r="B9" s="43"/>
      <c r="C9" s="43"/>
      <c r="D9" s="43"/>
      <c r="E9" s="43"/>
      <c r="F9" s="43"/>
      <c r="G9" s="43"/>
      <c r="H9" s="43"/>
      <c r="I9" s="43"/>
      <c r="J9" s="43"/>
      <c r="K9" s="43"/>
      <c r="L9" s="43"/>
      <c r="M9" s="43"/>
      <c r="N9" s="5" t="s">
        <v>107</v>
      </c>
      <c r="O9" s="1"/>
      <c r="P9" s="1"/>
      <c r="Q9" s="1"/>
      <c r="R9" s="1"/>
      <c r="S9" s="1"/>
      <c r="T9" s="1"/>
      <c r="U9" s="1"/>
      <c r="V9" s="1"/>
    </row>
    <row r="10" spans="1:22" x14ac:dyDescent="0.3">
      <c r="A10" s="46" t="s">
        <v>144</v>
      </c>
      <c r="B10" s="43"/>
      <c r="C10" s="43"/>
      <c r="D10" s="43"/>
      <c r="E10" s="43"/>
      <c r="F10" s="43"/>
      <c r="G10" s="43"/>
      <c r="H10" s="43"/>
      <c r="I10" s="43"/>
      <c r="J10" s="43"/>
      <c r="K10" s="43"/>
      <c r="L10" s="43"/>
      <c r="M10" s="43"/>
      <c r="N10" s="5" t="s">
        <v>21</v>
      </c>
      <c r="O10" s="1"/>
      <c r="P10" s="1"/>
      <c r="Q10" s="1"/>
      <c r="R10" s="1"/>
      <c r="S10" s="1"/>
      <c r="T10" s="1"/>
      <c r="U10" s="1"/>
      <c r="V10" s="1"/>
    </row>
    <row r="11" spans="1:22" x14ac:dyDescent="0.3">
      <c r="A11" s="47" t="s">
        <v>123</v>
      </c>
      <c r="B11" s="43"/>
      <c r="C11" s="43"/>
      <c r="D11" s="43"/>
      <c r="E11" s="43"/>
      <c r="F11" s="43"/>
      <c r="G11" s="43"/>
      <c r="H11" s="43"/>
      <c r="I11" s="43"/>
      <c r="J11" s="43"/>
      <c r="K11" s="43"/>
      <c r="L11" s="43"/>
      <c r="M11" s="43"/>
      <c r="N11" s="43"/>
      <c r="O11" s="1"/>
      <c r="P11" s="1"/>
      <c r="Q11" s="1"/>
      <c r="R11" s="1"/>
      <c r="S11" s="1"/>
      <c r="T11" s="1"/>
      <c r="U11" s="1"/>
      <c r="V11" s="1"/>
    </row>
    <row r="12" spans="1:22" x14ac:dyDescent="0.3">
      <c r="A12" s="47" t="s">
        <v>116</v>
      </c>
      <c r="B12" s="43"/>
      <c r="C12" s="43"/>
      <c r="D12" s="43"/>
      <c r="E12" s="43"/>
      <c r="F12" s="43"/>
      <c r="G12" s="43"/>
      <c r="H12" s="43"/>
      <c r="I12" s="43"/>
      <c r="J12" s="43"/>
      <c r="K12" s="43"/>
      <c r="L12" s="43"/>
      <c r="M12" s="43"/>
      <c r="N12" s="44" t="s">
        <v>108</v>
      </c>
      <c r="O12" s="1"/>
      <c r="P12" s="1"/>
      <c r="Q12" s="1"/>
      <c r="R12" s="1"/>
      <c r="S12" s="1"/>
      <c r="T12" s="1"/>
      <c r="U12" s="1"/>
      <c r="V12" s="1"/>
    </row>
    <row r="13" spans="1:22" x14ac:dyDescent="0.3">
      <c r="A13" s="47" t="s">
        <v>117</v>
      </c>
      <c r="B13" s="43"/>
      <c r="C13" s="43"/>
      <c r="D13" s="43"/>
      <c r="E13" s="43"/>
      <c r="F13" s="43"/>
      <c r="G13" s="43"/>
      <c r="H13" s="43"/>
      <c r="I13" s="43"/>
      <c r="J13" s="43"/>
      <c r="K13" s="43"/>
      <c r="L13" s="43"/>
      <c r="M13" s="43"/>
      <c r="N13" s="43" t="s">
        <v>29</v>
      </c>
      <c r="O13" s="1"/>
      <c r="P13" s="1"/>
      <c r="Q13" s="1"/>
      <c r="R13" s="1"/>
      <c r="S13" s="1"/>
      <c r="T13" s="1"/>
      <c r="U13" s="1"/>
      <c r="V13" s="1"/>
    </row>
    <row r="14" spans="1:22" x14ac:dyDescent="0.3">
      <c r="A14" s="47" t="s">
        <v>118</v>
      </c>
      <c r="B14" s="43"/>
      <c r="C14" s="43"/>
      <c r="D14" s="43"/>
      <c r="E14" s="43"/>
      <c r="F14" s="43"/>
      <c r="G14" s="43"/>
      <c r="H14" s="43"/>
      <c r="I14" s="43"/>
      <c r="J14" s="43"/>
      <c r="K14" s="43"/>
      <c r="L14" s="43"/>
      <c r="M14" s="43"/>
      <c r="N14" s="43" t="s">
        <v>21</v>
      </c>
      <c r="O14" s="1"/>
      <c r="P14" s="1"/>
      <c r="Q14" s="1"/>
      <c r="R14" s="1"/>
      <c r="S14" s="1"/>
      <c r="T14" s="1"/>
      <c r="U14" s="1"/>
      <c r="V14" s="1"/>
    </row>
    <row r="15" spans="1:22" x14ac:dyDescent="0.3">
      <c r="A15" s="47" t="s">
        <v>119</v>
      </c>
      <c r="B15" s="43"/>
      <c r="C15" s="43"/>
      <c r="D15" s="43"/>
      <c r="E15" s="43"/>
      <c r="F15" s="43"/>
      <c r="G15" s="43"/>
      <c r="H15" s="43"/>
      <c r="I15" s="43"/>
      <c r="J15" s="43"/>
      <c r="K15" s="43"/>
      <c r="L15" s="43"/>
      <c r="M15" s="43"/>
      <c r="N15" s="43"/>
      <c r="O15" s="1"/>
      <c r="P15" s="1"/>
      <c r="Q15" s="1"/>
      <c r="R15" s="1"/>
      <c r="S15" s="1"/>
      <c r="T15" s="1"/>
      <c r="U15" s="1"/>
      <c r="V15" s="1"/>
    </row>
    <row r="16" spans="1:22" x14ac:dyDescent="0.3">
      <c r="A16" s="47" t="s">
        <v>120</v>
      </c>
      <c r="B16" s="43"/>
      <c r="C16" s="43"/>
      <c r="D16" s="43"/>
      <c r="E16" s="43"/>
      <c r="F16" s="43"/>
      <c r="G16" s="43"/>
      <c r="H16" s="43"/>
      <c r="I16" s="43"/>
      <c r="J16" s="43"/>
      <c r="K16" s="43"/>
      <c r="L16" s="43"/>
      <c r="M16" s="43"/>
      <c r="N16" s="44" t="s">
        <v>23</v>
      </c>
      <c r="O16" s="1"/>
      <c r="P16" s="1"/>
      <c r="Q16" s="1"/>
      <c r="R16" s="1"/>
      <c r="S16" s="1"/>
      <c r="T16" s="1"/>
      <c r="U16" s="1"/>
      <c r="V16" s="1"/>
    </row>
    <row r="17" spans="1:23" x14ac:dyDescent="0.3">
      <c r="A17" s="47" t="s">
        <v>121</v>
      </c>
      <c r="B17" s="43"/>
      <c r="C17" s="43"/>
      <c r="D17" s="43"/>
      <c r="E17" s="43"/>
      <c r="F17" s="43"/>
      <c r="G17" s="43"/>
      <c r="H17" s="43"/>
      <c r="I17" s="43"/>
      <c r="J17" s="43"/>
      <c r="K17" s="43"/>
      <c r="L17" s="43"/>
      <c r="M17" s="43"/>
      <c r="N17" s="43" t="s">
        <v>132</v>
      </c>
      <c r="O17" s="1"/>
      <c r="P17" s="1"/>
      <c r="Q17" s="1"/>
      <c r="R17" s="1"/>
      <c r="S17" s="1"/>
      <c r="T17" s="1"/>
      <c r="U17" s="1"/>
      <c r="V17" s="1"/>
    </row>
    <row r="18" spans="1:23" x14ac:dyDescent="0.3">
      <c r="A18" s="47" t="s">
        <v>142</v>
      </c>
      <c r="B18" s="43"/>
      <c r="C18" s="43"/>
      <c r="D18" s="43"/>
      <c r="E18" s="43"/>
      <c r="F18" s="43"/>
      <c r="G18" s="43"/>
      <c r="H18" s="43"/>
      <c r="I18" s="43"/>
      <c r="J18" s="43"/>
      <c r="K18" s="43"/>
      <c r="L18" s="43"/>
      <c r="M18" s="43"/>
      <c r="N18" s="43" t="s">
        <v>133</v>
      </c>
      <c r="O18" s="1"/>
      <c r="P18" s="1"/>
      <c r="Q18" s="1"/>
      <c r="R18" s="1"/>
      <c r="S18" s="1"/>
      <c r="T18" s="1"/>
      <c r="U18" s="1"/>
      <c r="V18" s="1"/>
    </row>
    <row r="19" spans="1:23" x14ac:dyDescent="0.3">
      <c r="A19" s="47" t="s">
        <v>122</v>
      </c>
      <c r="B19" s="43"/>
      <c r="C19" s="43"/>
      <c r="D19" s="43"/>
      <c r="E19" s="43"/>
      <c r="F19" s="43"/>
      <c r="G19" s="43"/>
      <c r="H19" s="43"/>
      <c r="I19" s="43"/>
      <c r="J19" s="43"/>
      <c r="K19" s="43"/>
      <c r="L19" s="43"/>
      <c r="M19" s="48"/>
      <c r="N19" s="43" t="s">
        <v>163</v>
      </c>
      <c r="T19" s="1"/>
      <c r="V19" s="1"/>
    </row>
    <row r="20" spans="1:23" x14ac:dyDescent="0.3">
      <c r="A20" s="47" t="s">
        <v>124</v>
      </c>
      <c r="B20" s="43"/>
      <c r="C20" s="43"/>
      <c r="D20" s="43"/>
      <c r="E20" s="43"/>
      <c r="F20" s="43"/>
      <c r="G20" s="43"/>
      <c r="H20" s="43"/>
      <c r="I20" s="43"/>
      <c r="J20" s="43"/>
      <c r="K20" s="43"/>
      <c r="L20" s="43"/>
      <c r="M20" s="48"/>
      <c r="N20" s="43" t="s">
        <v>134</v>
      </c>
      <c r="T20" s="1"/>
      <c r="V20" s="1"/>
    </row>
    <row r="21" spans="1:23" x14ac:dyDescent="0.3">
      <c r="A21" s="47" t="s">
        <v>125</v>
      </c>
      <c r="B21" s="43"/>
      <c r="C21" s="43"/>
      <c r="D21" s="43"/>
      <c r="E21" s="43"/>
      <c r="F21" s="43"/>
      <c r="G21" s="43"/>
      <c r="H21" s="43"/>
      <c r="I21" s="43"/>
      <c r="J21" s="43"/>
      <c r="K21" s="43"/>
      <c r="L21" s="43"/>
      <c r="M21" s="48"/>
      <c r="N21" s="43" t="s">
        <v>135</v>
      </c>
      <c r="T21" s="1"/>
      <c r="V21" s="1"/>
      <c r="W21" s="2"/>
    </row>
    <row r="22" spans="1:23" x14ac:dyDescent="0.3">
      <c r="A22" s="47" t="s">
        <v>126</v>
      </c>
      <c r="B22" s="43"/>
      <c r="C22" s="43"/>
      <c r="D22" s="43"/>
      <c r="E22" s="5"/>
      <c r="F22" s="43"/>
      <c r="G22" s="5"/>
      <c r="H22" s="43"/>
      <c r="I22" s="5"/>
      <c r="J22" s="43"/>
      <c r="K22" s="43"/>
      <c r="L22" s="43"/>
      <c r="M22" s="48"/>
      <c r="N22" s="48"/>
      <c r="T22" s="1"/>
      <c r="V22" s="1"/>
      <c r="W22" s="2"/>
    </row>
    <row r="23" spans="1:23" x14ac:dyDescent="0.3">
      <c r="A23" s="47" t="s">
        <v>127</v>
      </c>
      <c r="B23" s="43"/>
      <c r="C23" s="43"/>
      <c r="D23" s="43"/>
      <c r="E23" s="5"/>
      <c r="F23" s="43"/>
      <c r="G23" s="5"/>
      <c r="H23" s="43"/>
      <c r="I23" s="43"/>
      <c r="J23" s="43"/>
      <c r="K23" s="43"/>
      <c r="L23" s="43"/>
      <c r="M23" s="48"/>
      <c r="N23" s="44" t="s">
        <v>110</v>
      </c>
      <c r="T23" s="1"/>
      <c r="V23" s="1"/>
      <c r="W23" s="2"/>
    </row>
    <row r="24" spans="1:23" x14ac:dyDescent="0.3">
      <c r="A24" s="47" t="s">
        <v>128</v>
      </c>
      <c r="B24" s="43"/>
      <c r="C24" s="43"/>
      <c r="D24" s="43"/>
      <c r="E24" s="5"/>
      <c r="F24" s="43"/>
      <c r="G24" s="43"/>
      <c r="H24" s="43"/>
      <c r="I24" s="43"/>
      <c r="J24" s="43"/>
      <c r="K24" s="43"/>
      <c r="L24" s="43"/>
      <c r="M24" s="43"/>
      <c r="N24" s="43" t="s">
        <v>42</v>
      </c>
      <c r="O24" s="1"/>
      <c r="P24" s="1"/>
      <c r="Q24" s="1"/>
      <c r="R24" s="1"/>
      <c r="S24" s="1"/>
      <c r="T24" s="1"/>
      <c r="V24" s="1"/>
      <c r="W24" s="2"/>
    </row>
    <row r="25" spans="1:23" x14ac:dyDescent="0.3">
      <c r="A25" s="47" t="s">
        <v>129</v>
      </c>
      <c r="B25" s="43"/>
      <c r="C25" s="43"/>
      <c r="D25" s="43"/>
      <c r="E25" s="5"/>
      <c r="F25" s="43"/>
      <c r="G25" s="43"/>
      <c r="H25" s="43"/>
      <c r="I25" s="43"/>
      <c r="J25" s="43"/>
      <c r="K25" s="43"/>
      <c r="L25" s="43"/>
      <c r="M25" s="43"/>
      <c r="N25" s="43" t="s">
        <v>155</v>
      </c>
      <c r="O25" s="1"/>
      <c r="P25" s="1"/>
      <c r="Q25" s="1"/>
      <c r="R25" s="1"/>
      <c r="S25" s="1"/>
      <c r="T25" s="1"/>
      <c r="V25" s="1"/>
      <c r="W25" s="2"/>
    </row>
    <row r="26" spans="1:23" x14ac:dyDescent="0.3">
      <c r="A26" s="47" t="s">
        <v>130</v>
      </c>
      <c r="B26" s="43"/>
      <c r="C26" s="43"/>
      <c r="D26" s="43"/>
      <c r="E26" s="43"/>
      <c r="F26" s="43"/>
      <c r="G26" s="43"/>
      <c r="H26" s="43"/>
      <c r="I26" s="43"/>
      <c r="J26" s="43"/>
      <c r="K26" s="43"/>
      <c r="L26" s="43"/>
      <c r="M26" s="43"/>
      <c r="N26" s="43" t="s">
        <v>156</v>
      </c>
      <c r="O26" s="1"/>
      <c r="P26" s="1"/>
      <c r="Q26" s="1"/>
      <c r="R26" s="1"/>
      <c r="S26" s="1"/>
      <c r="T26" s="1"/>
      <c r="V26" s="1"/>
      <c r="W26" s="2"/>
    </row>
    <row r="27" spans="1:23" x14ac:dyDescent="0.3">
      <c r="A27" s="47" t="s">
        <v>143</v>
      </c>
      <c r="B27" s="43"/>
      <c r="C27" s="43"/>
      <c r="D27" s="43"/>
      <c r="E27" s="43"/>
      <c r="F27" s="43"/>
      <c r="G27" s="43"/>
      <c r="H27" s="43"/>
      <c r="I27" s="43"/>
      <c r="J27" s="43"/>
      <c r="K27" s="43"/>
      <c r="L27" s="43"/>
      <c r="M27" s="43"/>
      <c r="N27" s="43" t="s">
        <v>157</v>
      </c>
      <c r="O27" s="1"/>
      <c r="P27" s="1"/>
      <c r="Q27" s="1"/>
      <c r="R27" s="1"/>
      <c r="S27" s="1"/>
      <c r="T27" s="1"/>
      <c r="V27" s="1"/>
      <c r="W27" s="2"/>
    </row>
    <row r="28" spans="1:23" x14ac:dyDescent="0.3">
      <c r="A28" s="47" t="s">
        <v>152</v>
      </c>
      <c r="B28" s="43"/>
      <c r="C28" s="43"/>
      <c r="D28" s="43"/>
      <c r="E28" s="43"/>
      <c r="F28" s="43"/>
      <c r="G28" s="43"/>
      <c r="H28" s="43"/>
      <c r="I28" s="43"/>
      <c r="J28" s="43"/>
      <c r="K28" s="43"/>
      <c r="L28" s="43"/>
      <c r="M28" s="43"/>
      <c r="N28" s="43" t="s">
        <v>109</v>
      </c>
      <c r="U28" s="1"/>
      <c r="V28" s="1"/>
    </row>
    <row r="29" spans="1:23" x14ac:dyDescent="0.3">
      <c r="A29" s="47"/>
      <c r="B29" s="43"/>
      <c r="C29" s="43"/>
      <c r="D29" s="43"/>
      <c r="E29" s="43"/>
      <c r="F29" s="43"/>
      <c r="G29" s="43"/>
      <c r="H29" s="43"/>
      <c r="I29" s="43"/>
      <c r="J29" s="43"/>
      <c r="K29" s="43"/>
      <c r="L29" s="43"/>
      <c r="M29" s="43"/>
      <c r="N29" s="48"/>
      <c r="U29" s="1"/>
      <c r="V29" s="1"/>
    </row>
    <row r="30" spans="1:23" x14ac:dyDescent="0.3">
      <c r="A30" s="50" t="s">
        <v>158</v>
      </c>
      <c r="B30" s="43"/>
      <c r="C30" s="43"/>
      <c r="D30" s="43"/>
      <c r="E30" s="43"/>
      <c r="F30" s="43"/>
      <c r="G30" s="43"/>
      <c r="H30" s="43"/>
      <c r="I30" s="43"/>
      <c r="J30" s="43"/>
      <c r="K30" s="43"/>
      <c r="L30" s="43"/>
      <c r="M30" s="43"/>
      <c r="N30" s="45" t="s">
        <v>26</v>
      </c>
      <c r="U30" s="1"/>
      <c r="V30" s="1"/>
    </row>
    <row r="31" spans="1:23" x14ac:dyDescent="0.3">
      <c r="A31" s="49" t="s">
        <v>159</v>
      </c>
      <c r="B31" s="43"/>
      <c r="C31" s="43"/>
      <c r="D31" s="43"/>
      <c r="E31" s="43"/>
      <c r="F31" s="43"/>
      <c r="G31" s="43"/>
      <c r="H31" s="43"/>
      <c r="I31" s="43"/>
      <c r="J31" s="43"/>
      <c r="K31" s="43"/>
      <c r="L31" s="43"/>
      <c r="M31" s="43"/>
      <c r="N31" s="5" t="s">
        <v>136</v>
      </c>
      <c r="U31" s="1"/>
      <c r="V31" s="1"/>
    </row>
    <row r="32" spans="1:23" x14ac:dyDescent="0.3">
      <c r="A32" s="49" t="s">
        <v>160</v>
      </c>
      <c r="B32" s="43"/>
      <c r="C32" s="43"/>
      <c r="D32" s="43"/>
      <c r="E32" s="43"/>
      <c r="F32" s="43"/>
      <c r="G32" s="43"/>
      <c r="H32" s="43"/>
      <c r="I32" s="43"/>
      <c r="J32" s="43"/>
      <c r="K32" s="43"/>
      <c r="L32" s="43"/>
      <c r="M32" s="43"/>
      <c r="N32" s="5">
        <v>110</v>
      </c>
      <c r="U32" s="1"/>
      <c r="V32" s="1"/>
    </row>
    <row r="33" spans="1:22" x14ac:dyDescent="0.3">
      <c r="A33" s="49" t="s">
        <v>161</v>
      </c>
      <c r="B33" s="43"/>
      <c r="C33" s="43"/>
      <c r="D33" s="43"/>
      <c r="E33" s="43"/>
      <c r="F33" s="43"/>
      <c r="G33" s="43"/>
      <c r="H33" s="43"/>
      <c r="I33" s="43"/>
      <c r="J33" s="43"/>
      <c r="K33" s="43"/>
      <c r="L33" s="43"/>
      <c r="M33" s="43"/>
      <c r="N33" s="5">
        <v>130</v>
      </c>
      <c r="U33" s="1"/>
      <c r="V33" s="1"/>
    </row>
    <row r="34" spans="1:22" x14ac:dyDescent="0.3">
      <c r="A34" s="5"/>
      <c r="B34" s="43"/>
      <c r="C34" s="43"/>
      <c r="D34" s="43"/>
      <c r="E34" s="43"/>
      <c r="F34" s="43"/>
      <c r="G34" s="43"/>
      <c r="H34" s="43"/>
      <c r="I34" s="43"/>
      <c r="J34" s="43"/>
      <c r="K34" s="43"/>
      <c r="L34" s="43"/>
      <c r="M34" s="43"/>
      <c r="N34" s="5">
        <v>150</v>
      </c>
      <c r="U34" s="1"/>
      <c r="V34" s="1"/>
    </row>
    <row r="35" spans="1:22" x14ac:dyDescent="0.3">
      <c r="A35" s="45" t="s">
        <v>44</v>
      </c>
      <c r="B35" s="43"/>
      <c r="C35" s="43"/>
      <c r="D35" s="43"/>
      <c r="E35" s="43"/>
      <c r="F35" s="43"/>
      <c r="G35" s="43"/>
      <c r="H35" s="43"/>
      <c r="I35" s="43"/>
      <c r="J35" s="43"/>
      <c r="K35" s="43"/>
      <c r="L35" s="43"/>
      <c r="M35" s="43"/>
      <c r="N35" s="5">
        <v>180</v>
      </c>
      <c r="U35" s="1"/>
      <c r="V35" s="1"/>
    </row>
    <row r="36" spans="1:22" x14ac:dyDescent="0.3">
      <c r="A36" s="5" t="s">
        <v>28</v>
      </c>
      <c r="B36" s="43"/>
      <c r="C36" s="43"/>
      <c r="D36" s="43"/>
      <c r="E36" s="43"/>
      <c r="F36" s="43"/>
      <c r="G36" s="43"/>
      <c r="H36" s="43"/>
      <c r="I36" s="43"/>
      <c r="J36" s="43"/>
      <c r="K36" s="43"/>
      <c r="L36" s="43"/>
      <c r="M36" s="43"/>
      <c r="N36" s="5" t="s">
        <v>137</v>
      </c>
      <c r="U36" s="1"/>
      <c r="V36" s="1"/>
    </row>
    <row r="37" spans="1:22" x14ac:dyDescent="0.3">
      <c r="A37" s="5" t="s">
        <v>32</v>
      </c>
      <c r="B37" s="43"/>
      <c r="C37" s="43"/>
      <c r="D37" s="43"/>
      <c r="E37" s="43"/>
      <c r="F37" s="43"/>
      <c r="G37" s="43"/>
      <c r="H37" s="43"/>
      <c r="I37" s="43"/>
      <c r="J37" s="43"/>
      <c r="K37" s="43"/>
      <c r="L37" s="43"/>
      <c r="M37" s="43"/>
      <c r="N37" s="5" t="s">
        <v>138</v>
      </c>
      <c r="U37" s="1"/>
      <c r="V37" s="1"/>
    </row>
    <row r="38" spans="1:22" x14ac:dyDescent="0.3">
      <c r="A38" s="5"/>
      <c r="B38" s="43"/>
      <c r="C38" s="43"/>
      <c r="D38" s="43"/>
      <c r="E38" s="43"/>
      <c r="F38" s="43"/>
      <c r="G38" s="43"/>
      <c r="H38" s="43"/>
      <c r="I38" s="43"/>
      <c r="J38" s="43"/>
      <c r="K38" s="43"/>
      <c r="L38" s="43"/>
      <c r="M38" s="43"/>
      <c r="N38" s="5" t="s">
        <v>36</v>
      </c>
      <c r="U38" s="1"/>
      <c r="V38" s="1"/>
    </row>
    <row r="39" spans="1:22" x14ac:dyDescent="0.3">
      <c r="A39" s="45" t="s">
        <v>45</v>
      </c>
      <c r="B39" s="48"/>
      <c r="C39" s="48"/>
      <c r="D39" s="48"/>
      <c r="E39" s="48"/>
      <c r="F39" s="48"/>
      <c r="G39" s="48"/>
      <c r="H39" s="48"/>
      <c r="I39" s="48"/>
      <c r="J39" s="48"/>
      <c r="K39" s="48"/>
      <c r="L39" s="48"/>
      <c r="M39" s="48"/>
      <c r="N39" s="48"/>
    </row>
    <row r="40" spans="1:22" x14ac:dyDescent="0.3">
      <c r="A40" s="5" t="s">
        <v>42</v>
      </c>
      <c r="B40" s="48"/>
      <c r="C40" s="48"/>
      <c r="D40" s="48"/>
      <c r="E40" s="48"/>
      <c r="F40" s="48"/>
      <c r="G40" s="48"/>
      <c r="H40" s="48"/>
      <c r="I40" s="48"/>
      <c r="J40" s="48"/>
      <c r="K40" s="48"/>
      <c r="L40" s="48"/>
      <c r="M40" s="48"/>
      <c r="N40" s="45" t="s">
        <v>24</v>
      </c>
    </row>
    <row r="41" spans="1:22" x14ac:dyDescent="0.3">
      <c r="A41" s="5" t="s">
        <v>40</v>
      </c>
      <c r="B41" s="48"/>
      <c r="C41" s="48"/>
      <c r="D41" s="48"/>
      <c r="E41" s="48"/>
      <c r="F41" s="48"/>
      <c r="G41" s="48"/>
      <c r="H41" s="48"/>
      <c r="I41" s="48"/>
      <c r="J41" s="48"/>
      <c r="K41" s="48"/>
      <c r="L41" s="48"/>
      <c r="M41" s="48"/>
      <c r="N41" s="5" t="s">
        <v>33</v>
      </c>
    </row>
    <row r="42" spans="1:22" x14ac:dyDescent="0.3">
      <c r="A42" s="5" t="s">
        <v>41</v>
      </c>
      <c r="B42" s="48"/>
      <c r="C42" s="48"/>
      <c r="D42" s="48"/>
      <c r="E42" s="48"/>
      <c r="F42" s="48"/>
      <c r="G42" s="48"/>
      <c r="H42" s="48"/>
      <c r="I42" s="48"/>
      <c r="J42" s="48"/>
      <c r="K42" s="48"/>
      <c r="L42" s="48"/>
      <c r="M42" s="48"/>
      <c r="N42" s="5" t="s">
        <v>35</v>
      </c>
    </row>
    <row r="43" spans="1:22" x14ac:dyDescent="0.3">
      <c r="A43" s="5" t="s">
        <v>43</v>
      </c>
      <c r="B43" s="48"/>
      <c r="C43" s="48"/>
      <c r="D43" s="48"/>
      <c r="E43" s="48"/>
      <c r="F43" s="48"/>
      <c r="G43" s="48"/>
      <c r="H43" s="48"/>
      <c r="I43" s="48"/>
      <c r="J43" s="48"/>
      <c r="K43" s="48"/>
      <c r="L43" s="48"/>
      <c r="M43" s="48"/>
      <c r="N43" s="5" t="s">
        <v>139</v>
      </c>
    </row>
    <row r="44" spans="1:22" x14ac:dyDescent="0.3">
      <c r="A44" s="43"/>
      <c r="B44" s="48"/>
      <c r="C44" s="48"/>
      <c r="D44" s="48"/>
      <c r="E44" s="48"/>
      <c r="F44" s="48"/>
      <c r="G44" s="48"/>
      <c r="H44" s="48"/>
      <c r="I44" s="48"/>
      <c r="J44" s="48"/>
      <c r="K44" s="48"/>
      <c r="L44" s="48"/>
      <c r="M44" s="48"/>
      <c r="N44" s="5"/>
    </row>
    <row r="45" spans="1:22" x14ac:dyDescent="0.3">
      <c r="A45" s="45" t="s">
        <v>62</v>
      </c>
      <c r="B45" s="48"/>
      <c r="C45" s="48"/>
      <c r="D45" s="48"/>
      <c r="E45" s="48"/>
      <c r="F45" s="48"/>
      <c r="G45" s="48"/>
      <c r="H45" s="48"/>
      <c r="I45" s="48"/>
      <c r="J45" s="48"/>
      <c r="K45" s="48"/>
      <c r="L45" s="48"/>
      <c r="M45" s="48"/>
      <c r="N45" s="45" t="s">
        <v>95</v>
      </c>
    </row>
    <row r="46" spans="1:22" x14ac:dyDescent="0.3">
      <c r="A46" s="5" t="s">
        <v>42</v>
      </c>
      <c r="B46" s="48"/>
      <c r="C46" s="48"/>
      <c r="D46" s="48"/>
      <c r="E46" s="48"/>
      <c r="F46" s="48"/>
      <c r="G46" s="48"/>
      <c r="H46" s="48"/>
      <c r="I46" s="48"/>
      <c r="J46" s="48"/>
      <c r="K46" s="48"/>
      <c r="L46" s="48"/>
      <c r="M46" s="48"/>
      <c r="N46" s="5" t="s">
        <v>36</v>
      </c>
    </row>
    <row r="47" spans="1:22" x14ac:dyDescent="0.3">
      <c r="A47" s="5" t="s">
        <v>64</v>
      </c>
      <c r="B47" s="48"/>
      <c r="C47" s="48"/>
      <c r="D47" s="48"/>
      <c r="E47" s="48"/>
      <c r="F47" s="48"/>
      <c r="G47" s="48"/>
      <c r="H47" s="48"/>
      <c r="I47" s="48"/>
      <c r="J47" s="48"/>
      <c r="K47" s="48"/>
      <c r="L47" s="48"/>
      <c r="M47" s="48"/>
      <c r="N47" s="5" t="s">
        <v>30</v>
      </c>
    </row>
    <row r="48" spans="1:22" x14ac:dyDescent="0.3">
      <c r="A48" s="5" t="s">
        <v>63</v>
      </c>
      <c r="B48" s="48"/>
      <c r="C48" s="48"/>
      <c r="D48" s="48"/>
      <c r="E48" s="48"/>
      <c r="F48" s="48"/>
      <c r="G48" s="48"/>
      <c r="H48" s="48"/>
      <c r="I48" s="48"/>
      <c r="J48" s="48"/>
      <c r="K48" s="48"/>
      <c r="L48" s="48"/>
      <c r="M48" s="48"/>
      <c r="N48" s="5" t="s">
        <v>140</v>
      </c>
    </row>
    <row r="49" spans="1:20" x14ac:dyDescent="0.3">
      <c r="A49" s="48"/>
      <c r="B49" s="48"/>
      <c r="C49" s="48"/>
      <c r="D49" s="48"/>
      <c r="E49" s="48"/>
      <c r="F49" s="48"/>
      <c r="G49" s="48"/>
      <c r="H49" s="48"/>
      <c r="I49" s="48"/>
      <c r="J49" s="48"/>
      <c r="K49" s="48"/>
      <c r="L49" s="48"/>
      <c r="M49" s="48"/>
      <c r="N49" s="5" t="s">
        <v>153</v>
      </c>
    </row>
    <row r="50" spans="1:20" x14ac:dyDescent="0.3">
      <c r="A50" s="45" t="s">
        <v>67</v>
      </c>
      <c r="B50" s="48"/>
      <c r="C50" s="48"/>
      <c r="D50" s="48"/>
      <c r="E50" s="48"/>
      <c r="F50" s="48"/>
      <c r="G50" s="48"/>
      <c r="H50" s="48"/>
      <c r="I50" s="48"/>
      <c r="J50" s="48"/>
      <c r="K50" s="48"/>
      <c r="L50" s="48"/>
      <c r="M50" s="48"/>
      <c r="N50" s="5" t="s">
        <v>154</v>
      </c>
    </row>
    <row r="51" spans="1:20" x14ac:dyDescent="0.3">
      <c r="A51" s="5" t="s">
        <v>42</v>
      </c>
      <c r="B51" s="48"/>
      <c r="C51" s="48"/>
      <c r="D51" s="48"/>
      <c r="E51" s="48"/>
      <c r="F51" s="48"/>
      <c r="G51" s="48"/>
      <c r="H51" s="48"/>
      <c r="I51" s="48"/>
      <c r="J51" s="48"/>
      <c r="K51" s="48"/>
      <c r="L51" s="48"/>
      <c r="M51" s="48"/>
      <c r="N51" s="48"/>
    </row>
    <row r="52" spans="1:20" x14ac:dyDescent="0.3">
      <c r="A52" s="5" t="s">
        <v>69</v>
      </c>
      <c r="B52" s="48"/>
      <c r="C52" s="48"/>
      <c r="D52" s="48"/>
      <c r="E52" s="48"/>
      <c r="F52" s="48"/>
      <c r="G52" s="48"/>
      <c r="H52" s="48"/>
      <c r="I52" s="48"/>
      <c r="J52" s="48"/>
      <c r="K52" s="48"/>
      <c r="L52" s="48"/>
      <c r="M52" s="48"/>
      <c r="N52" s="44" t="s">
        <v>141</v>
      </c>
    </row>
    <row r="53" spans="1:20" x14ac:dyDescent="0.3">
      <c r="A53" s="5" t="s">
        <v>68</v>
      </c>
      <c r="B53" s="48"/>
      <c r="C53" s="48"/>
      <c r="D53" s="48"/>
      <c r="E53" s="48"/>
      <c r="F53" s="48"/>
      <c r="G53" s="48"/>
      <c r="H53" s="48"/>
      <c r="I53" s="48"/>
      <c r="J53" s="48"/>
      <c r="K53" s="48"/>
      <c r="L53" s="48"/>
      <c r="M53" s="48"/>
      <c r="N53" s="43" t="s">
        <v>29</v>
      </c>
    </row>
    <row r="54" spans="1:20" x14ac:dyDescent="0.3">
      <c r="A54" s="43"/>
      <c r="B54" s="48"/>
      <c r="C54" s="48"/>
      <c r="D54" s="48"/>
      <c r="E54" s="48"/>
      <c r="F54" s="48"/>
      <c r="G54" s="48"/>
      <c r="H54" s="48"/>
      <c r="I54" s="48"/>
      <c r="J54" s="48"/>
      <c r="K54" s="48"/>
      <c r="L54" s="48"/>
      <c r="M54" s="48"/>
      <c r="N54" s="43" t="s">
        <v>21</v>
      </c>
    </row>
    <row r="55" spans="1:20" x14ac:dyDescent="0.3">
      <c r="A55" s="45" t="s">
        <v>60</v>
      </c>
      <c r="B55" s="48"/>
      <c r="C55" s="48"/>
      <c r="D55" s="48"/>
      <c r="E55" s="48"/>
      <c r="F55" s="48"/>
      <c r="G55" s="48"/>
      <c r="H55" s="48"/>
      <c r="I55" s="48"/>
      <c r="J55" s="48"/>
      <c r="K55" s="48"/>
      <c r="L55" s="48"/>
      <c r="M55" s="48"/>
      <c r="N55" s="48"/>
    </row>
    <row r="56" spans="1:20" x14ac:dyDescent="0.3">
      <c r="A56" s="5" t="s">
        <v>42</v>
      </c>
      <c r="B56" s="48"/>
      <c r="C56" s="48"/>
      <c r="D56" s="48"/>
      <c r="E56" s="48"/>
      <c r="F56" s="48"/>
      <c r="G56" s="48"/>
      <c r="H56" s="48"/>
      <c r="I56" s="48"/>
      <c r="J56" s="48"/>
      <c r="K56" s="48"/>
      <c r="L56" s="48"/>
      <c r="M56" s="48"/>
      <c r="N56" s="45" t="s">
        <v>25</v>
      </c>
    </row>
    <row r="57" spans="1:20" x14ac:dyDescent="0.3">
      <c r="A57" s="5" t="s">
        <v>65</v>
      </c>
      <c r="B57" s="48"/>
      <c r="C57" s="48"/>
      <c r="D57" s="48"/>
      <c r="E57" s="48"/>
      <c r="F57" s="48"/>
      <c r="G57" s="48"/>
      <c r="H57" s="48"/>
      <c r="I57" s="48"/>
      <c r="J57" s="48"/>
      <c r="K57" s="48"/>
      <c r="L57" s="48"/>
      <c r="M57" s="48"/>
      <c r="N57" s="43" t="s">
        <v>34</v>
      </c>
      <c r="O57" s="1"/>
      <c r="P57" s="1"/>
      <c r="Q57" s="1"/>
      <c r="R57" s="1"/>
      <c r="S57" s="1"/>
      <c r="T57" s="1"/>
    </row>
    <row r="58" spans="1:20" x14ac:dyDescent="0.3">
      <c r="A58" s="5" t="s">
        <v>66</v>
      </c>
      <c r="B58" s="48"/>
      <c r="C58" s="48"/>
      <c r="D58" s="48"/>
      <c r="E58" s="48"/>
      <c r="F58" s="48"/>
      <c r="G58" s="48"/>
      <c r="H58" s="48"/>
      <c r="I58" s="48"/>
      <c r="J58" s="48"/>
      <c r="K58" s="48"/>
      <c r="L58" s="48"/>
      <c r="M58" s="48"/>
      <c r="N58" s="43" t="s">
        <v>31</v>
      </c>
    </row>
    <row r="59" spans="1:20" x14ac:dyDescent="0.3">
      <c r="A59" s="43"/>
    </row>
    <row r="60" spans="1:20" x14ac:dyDescent="0.3">
      <c r="A60" s="44" t="s">
        <v>61</v>
      </c>
      <c r="O60" s="1"/>
      <c r="Q60" s="1"/>
      <c r="R60" s="3"/>
      <c r="S60" s="1"/>
    </row>
    <row r="61" spans="1:20" x14ac:dyDescent="0.3">
      <c r="A61" s="43" t="s">
        <v>42</v>
      </c>
      <c r="O61" s="1"/>
      <c r="Q61" s="1"/>
      <c r="R61" s="1"/>
      <c r="S61" s="1"/>
    </row>
    <row r="62" spans="1:20" x14ac:dyDescent="0.3">
      <c r="A62" s="46" t="s">
        <v>144</v>
      </c>
      <c r="O62" s="1"/>
      <c r="Q62" s="1"/>
      <c r="R62" s="1"/>
      <c r="S62" s="1"/>
    </row>
    <row r="63" spans="1:20" x14ac:dyDescent="0.3">
      <c r="A63" s="47" t="s">
        <v>123</v>
      </c>
      <c r="O63" s="1"/>
      <c r="Q63" s="1"/>
      <c r="R63" s="1"/>
      <c r="S63" s="1"/>
      <c r="T63" s="1"/>
    </row>
    <row r="64" spans="1:20" x14ac:dyDescent="0.3">
      <c r="A64" s="47" t="s">
        <v>116</v>
      </c>
      <c r="O64" s="1"/>
      <c r="Q64" s="1"/>
      <c r="R64" s="1"/>
      <c r="S64" s="1"/>
      <c r="T64" s="1"/>
    </row>
    <row r="65" spans="1:20" x14ac:dyDescent="0.3">
      <c r="A65" s="47" t="s">
        <v>117</v>
      </c>
      <c r="N65" s="3"/>
      <c r="O65" s="1"/>
      <c r="P65" s="1"/>
      <c r="Q65" s="1"/>
      <c r="R65" s="1"/>
      <c r="S65" s="1"/>
      <c r="T65" s="1"/>
    </row>
    <row r="66" spans="1:20" x14ac:dyDescent="0.3">
      <c r="A66" s="47" t="s">
        <v>118</v>
      </c>
      <c r="N66" s="4"/>
      <c r="O66" s="1"/>
      <c r="P66" s="1"/>
      <c r="Q66" s="1"/>
      <c r="R66" s="1"/>
      <c r="S66" s="1"/>
      <c r="T66" s="1"/>
    </row>
    <row r="67" spans="1:20" x14ac:dyDescent="0.3">
      <c r="A67" s="47" t="s">
        <v>119</v>
      </c>
      <c r="N67" s="4"/>
      <c r="O67" s="1"/>
      <c r="P67" s="1"/>
      <c r="Q67" s="1"/>
      <c r="R67" s="1"/>
      <c r="S67" s="1"/>
      <c r="T67" s="1"/>
    </row>
    <row r="68" spans="1:20" x14ac:dyDescent="0.3">
      <c r="A68" s="47" t="s">
        <v>120</v>
      </c>
      <c r="N68" s="4"/>
      <c r="O68" s="1"/>
      <c r="P68" s="1"/>
      <c r="Q68" s="1"/>
      <c r="R68" s="1"/>
      <c r="S68" s="1"/>
      <c r="T68" s="1"/>
    </row>
    <row r="69" spans="1:20" x14ac:dyDescent="0.3">
      <c r="A69" s="47" t="s">
        <v>121</v>
      </c>
      <c r="N69" s="4"/>
    </row>
    <row r="70" spans="1:20" x14ac:dyDescent="0.3">
      <c r="A70" s="47" t="s">
        <v>142</v>
      </c>
    </row>
    <row r="71" spans="1:20" x14ac:dyDescent="0.3">
      <c r="A71" s="47" t="s">
        <v>122</v>
      </c>
    </row>
    <row r="72" spans="1:20" x14ac:dyDescent="0.3">
      <c r="A72" s="47" t="s">
        <v>120</v>
      </c>
    </row>
    <row r="73" spans="1:20" x14ac:dyDescent="0.3">
      <c r="A73" s="47" t="s">
        <v>121</v>
      </c>
    </row>
    <row r="74" spans="1:20" x14ac:dyDescent="0.3">
      <c r="A74" s="47" t="s">
        <v>142</v>
      </c>
    </row>
    <row r="75" spans="1:20" x14ac:dyDescent="0.3">
      <c r="A75" s="47" t="s">
        <v>122</v>
      </c>
    </row>
  </sheetData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E137960A92A824FAC71742D3481D3F3" ma:contentTypeVersion="12" ma:contentTypeDescription="Create a new document." ma:contentTypeScope="" ma:versionID="d6e963c1857956e3633ecea1a6815e56">
  <xsd:schema xmlns:xsd="http://www.w3.org/2001/XMLSchema" xmlns:xs="http://www.w3.org/2001/XMLSchema" xmlns:p="http://schemas.microsoft.com/office/2006/metadata/properties" xmlns:ns2="c3e44a62-d5f0-4bd1-8b0d-155d675458ee" xmlns:ns3="756e7449-9e6e-4224-8019-70866475b80e" targetNamespace="http://schemas.microsoft.com/office/2006/metadata/properties" ma:root="true" ma:fieldsID="d82d565699775ef0dc09e83fa3fb1977" ns2:_="" ns3:_="">
    <xsd:import namespace="c3e44a62-d5f0-4bd1-8b0d-155d675458ee"/>
    <xsd:import namespace="756e7449-9e6e-4224-8019-70866475b80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3e44a62-d5f0-4bd1-8b0d-155d675458e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2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6b4e9bc6-6dc0-43f6-befa-45f65617307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56e7449-9e6e-4224-8019-70866475b80e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5fb6a3a7-b9e7-4aa9-911d-086e6c40cc7a}" ma:internalName="TaxCatchAll" ma:showField="CatchAllData" ma:web="756e7449-9e6e-4224-8019-70866475b80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3e44a62-d5f0-4bd1-8b0d-155d675458ee">
      <Terms xmlns="http://schemas.microsoft.com/office/infopath/2007/PartnerControls"/>
    </lcf76f155ced4ddcb4097134ff3c332f>
    <TaxCatchAll xmlns="756e7449-9e6e-4224-8019-70866475b80e" xsi:nil="true"/>
  </documentManagement>
</p:properties>
</file>

<file path=customXml/itemProps1.xml><?xml version="1.0" encoding="utf-8"?>
<ds:datastoreItem xmlns:ds="http://schemas.openxmlformats.org/officeDocument/2006/customXml" ds:itemID="{B7D148DE-F544-4919-9F3D-2047E7619F7D}"/>
</file>

<file path=customXml/itemProps2.xml><?xml version="1.0" encoding="utf-8"?>
<ds:datastoreItem xmlns:ds="http://schemas.openxmlformats.org/officeDocument/2006/customXml" ds:itemID="{6CDAB349-B1CA-4BD9-99F2-1763BBA2DB9D}"/>
</file>

<file path=customXml/itemProps3.xml><?xml version="1.0" encoding="utf-8"?>
<ds:datastoreItem xmlns:ds="http://schemas.openxmlformats.org/officeDocument/2006/customXml" ds:itemID="{27B82C2F-C16E-45F9-8C4B-B630A7643C9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Sheet1</vt:lpstr>
      <vt:lpstr>Sheet2</vt:lpstr>
      <vt:lpstr>Sheet1!Print_Area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Nicole</dc:creator>
  <cp:lastModifiedBy>Nicole</cp:lastModifiedBy>
  <cp:lastPrinted>2020-02-12T05:21:31Z</cp:lastPrinted>
  <dcterms:created xsi:type="dcterms:W3CDTF">2019-11-27T23:28:06Z</dcterms:created>
  <dcterms:modified xsi:type="dcterms:W3CDTF">2020-04-02T23:40:53Z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0x010100DE137960A92A824FAC71742D3481D3F3</vt:lpwstr>
  </property>
</Properties>
</file>