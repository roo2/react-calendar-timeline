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0F9D1B0-AA7E-4BCB-A334-190DA9DCF1CC}" xr6:coauthVersionLast="47" xr6:coauthVersionMax="47" xr10:uidLastSave="{00000000-0000-0000-0000-000000000000}"/>
  <bookViews>
    <workbookView minimized="1" xWindow="0" yWindow="2370" windowWidth="19200" windowHeight="783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<sst xmlns="http://schemas.openxmlformats.org/spreadsheetml/2006/main" count="227" uniqueCount="169">
  <si>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</si>
  <si>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</si>
  <si>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</si>
  <si>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</si>
  <si>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</si>
  <si>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</si>
  <si>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</si>
  <si>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</si>
  <si>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</si>
  <si>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</si>
  <si>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</si>
  <si>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</si>
  <si>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</si>
  <si>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</si>
  <si>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</si>
  <si>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</si>
  <si>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</si>
  <si>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</si>
  <si>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</si>
  <si>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</si>
  <si>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</si>
  <si>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</si>
  <si>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</si>
  <si>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</si>
  <si>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</si>
  <si>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</si>
  <si>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</si>
  <si>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</si>
  <si>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</si>
  <si>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</si>
  <si>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</si>
  <si>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</si>
  <si>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</si>
  <si>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</si>
  <si>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</si>
  <si>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</si>
  <si>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</si>
  <si>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</si>
  <si>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</si>
  <si>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</si>
  <si>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</si>
  <si>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</si>
  <si>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</si>
  <si>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</si>
  <si>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</si>
  <si>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</si>
  <si>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</si>
  <si>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</si>
  <si>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</si>
  <si>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</si>
  <si>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</si>
  <si>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</si>
  <si>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</si>
  <si>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</si>
  <si>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</si>
  <si>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</si>
  <si>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</si>
  <si>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</si>
  <si>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</si>
  <si>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</si>
  <si>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</si>
  <si>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</si>
  <si>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</si>
  <si>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</si>
  <si>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</si>
  <si>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</si>
  <si>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</si>
  <si>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</si>
  <si>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</si>
  <si>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</si>
  <si>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</si>
  <si>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</si>
  <si>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</si>
  <si>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</si>
  <si>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</si>
  <si>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</si>
  <si>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</si>
  <si>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</si>
  <si>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</si>
  <si>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</si>
  <si>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</si>
  <si>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</si>
  <si>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</si>
  <si>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</si>
  <si>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</si>
  <si>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</si>
  <si>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</si>
  <si>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</si>
  <si>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</si>
  <si>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</si>
  <si>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</si>
  <si>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</si>
  <si>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</si>
  <si>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</si>
  <si>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</si>
  <si>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</si>
  <si>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</si>
  <si>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</si>
  <si>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</si>
  <si>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</si>
  <si>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</si>
  <si>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</si>
  <si>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</si>
  <si>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</si>
  <si>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</si>
  <si>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</si>
  <si>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</si>
  <si>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</si>
  <si>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</si>
  <si>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</si>
  <si>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</si>
  <si>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</si>
  <si>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</si>
  <si>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</si>
  <si>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</si>
  <si>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</si>
  <si>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</si>
  <si>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</si>
  <si>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</si>
  <si>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</si>
  <si>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</si>
  <si>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</si>
  <si>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</si>
  <si>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</si>
  <si>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</si>
  <si>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</si>
  <si>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</si>
  <si>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</si>
  <si>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</si>
  <si>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</si>
  <si>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</si>
  <si>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</si>
  <si>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</si>
  <si>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</si>
  <si>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</si>
  <si>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</si>
  <si>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</si>
  <si>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</si>
  <si>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</si>
  <si>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</si>
  <si>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</si>
  <si>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</si>
  <si>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</si>
  <si>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</si>
  <si>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</si>
  <si>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</si>
  <si>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</si>
  <si>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</si>
  <si>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</si>
  <si>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</si>
  <si>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</si>
  <si>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</si>
  <si>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</si>
  <si>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</si>
  <si>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</si>
  <si>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</si>
  <si>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</si>
  <si>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</si>
  <si>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</si>
  <si>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</si>
  <si>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</si>
  <si>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</si>
  <si>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</si>
  <si>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HELIMODS</t>
  </si>
  <si>
    <t>CORROSION INHIBITOR</t>
  </si>
  <si>
    <t>MUST HAVE CORROSION INHIBITOR</t>
  </si>
  <si>
    <t xml:space="preserve"> +/- 5mm</t>
  </si>
  <si>
    <t>RUN AT 190um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</si>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</sst>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T1200200BTCI</v>
      </c>
      <c r="C1" s="61"/>
      <c r="D1" s="62"/>
      <c r="E1" s="10" t="s">
        <v>55</v>
      </c>
      <c r="F1" s="51" t="s">
        <v>163</v>
      </c>
      <c r="G1" s="51"/>
      <c r="H1" s="52"/>
      <c r="I1" s="10" t="s">
        <v>147</v>
      </c>
      <c r="J1" s="76">
        <f ca="1">TODAY()</f>
        <v>45874</v>
      </c>
      <c r="K1" s="76"/>
      <c r="L1" s="77"/>
    </row>
    <row r="2" spans="1:14" ht="20.149999999999999" customHeight="1" x14ac:dyDescent="0.8">
      <c r="A2" s="10" t="s">
        <v>94</v>
      </c>
      <c r="B2" s="65" t="str">
        <f>IF(B7="Tube",(ROUNDUP(E11,0)&amp;"KG"),(ROUNDUP(H11,0)&amp;"M"))</f>
        <v>25KG</v>
      </c>
      <c r="C2" s="65"/>
      <c r="D2" s="66"/>
      <c r="E2" s="10" t="s">
        <v>56</v>
      </c>
      <c r="F2" s="51">
        <v>950411</v>
      </c>
      <c r="G2" s="51"/>
      <c r="H2" s="52"/>
      <c r="I2" s="10" t="s">
        <v>57</v>
      </c>
      <c r="J2" s="78">
        <v>45905</v>
      </c>
      <c r="K2" s="51"/>
      <c r="L2" s="52"/>
    </row>
    <row r="3" spans="1:14" ht="20.149999999999999" customHeight="1" x14ac:dyDescent="0.75">
      <c r="A3" s="67" t="s">
        <v>165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0" t="s">
        <v>157</v>
      </c>
      <c r="B7" s="51" t="s">
        <v>158</v>
      </c>
      <c r="C7" s="52"/>
      <c r="D7" s="10" t="s">
        <v>47</v>
      </c>
      <c r="E7" s="108" t="s">
        <v>127</v>
      </c>
      <c r="F7" s="108"/>
      <c r="G7" s="108"/>
      <c r="H7" s="108"/>
      <c r="I7" s="108"/>
      <c r="J7" s="91" t="s">
        <v>145</v>
      </c>
      <c r="K7" s="91"/>
      <c r="L7" s="92"/>
    </row>
    <row r="8" spans="1:14" ht="20.149999999999999" customHeight="1" x14ac:dyDescent="0.8">
      <c r="A8" s="11" t="s">
        <v>14</v>
      </c>
      <c r="B8" s="97">
        <v>1200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200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2" t="s">
        <v>46</v>
      </c>
      <c r="B9" s="81" t="s">
        <v>166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167</v>
      </c>
      <c r="I9" s="82"/>
      <c r="J9" s="10" t="s">
        <v>53</v>
      </c>
      <c r="K9" s="51" t="s">
        <v>28</v>
      </c>
      <c r="L9" s="52"/>
    </row>
    <row r="10" spans="1:14" ht="20.149999999999999" customHeight="1" x14ac:dyDescent="0.8">
      <c r="A10" s="10" t="s">
        <v>49</v>
      </c>
      <c r="B10" s="51">
        <v>4</v>
      </c>
      <c r="C10" s="52"/>
      <c r="D10" s="35" t="s">
        <v>104</v>
      </c>
      <c r="E10" s="85">
        <f>E11*B10</f>
        <v>100</v>
      </c>
      <c r="F10" s="86"/>
      <c r="G10" s="10" t="s">
        <v>51</v>
      </c>
      <c r="H10" s="65">
        <f>H11*B10</f>
        <v>225</v>
      </c>
      <c r="I10" s="66"/>
      <c r="J10" s="10" t="s">
        <v>39</v>
      </c>
      <c r="K10" s="51" t="s">
        <v>42</v>
      </c>
      <c r="L10" s="52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25</v>
      </c>
      <c r="F11" s="88"/>
      <c r="G11" s="41" t="s">
        <v>13</v>
      </c>
      <c r="H11" s="89">
        <f>E11*540000/B8/H8</f>
        <v>56.25</v>
      </c>
      <c r="I11" s="90"/>
      <c r="J11" s="41" t="s">
        <v>48</v>
      </c>
      <c r="K11" s="95" t="s">
        <v>42</v>
      </c>
      <c r="L11" s="96"/>
      <c r="N11"/>
    </row>
    <row r="12" spans="1:14" ht="20.149999999999999" customHeight="1" x14ac:dyDescent="0.75">
      <c r="A12" s="106" t="s">
        <v>11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49999999999999" customHeight="1" x14ac:dyDescent="0.8">
      <c r="A13" s="10" t="s">
        <v>59</v>
      </c>
      <c r="B13" s="51" t="s">
        <v>42</v>
      </c>
      <c r="C13" s="51"/>
      <c r="D13" s="52"/>
      <c r="E13" s="13" t="s">
        <v>60</v>
      </c>
      <c r="F13" s="51" t="s">
        <v>42</v>
      </c>
      <c r="G13" s="51"/>
      <c r="H13" s="52"/>
      <c r="I13" s="10" t="s">
        <v>61</v>
      </c>
      <c r="J13" s="51" t="s">
        <v>42</v>
      </c>
      <c r="K13" s="51"/>
      <c r="L13" s="52"/>
    </row>
    <row r="14" spans="1:14" ht="20.149999999999999" customHeight="1" x14ac:dyDescent="0.9">
      <c r="A14" s="11" t="s">
        <v>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4</v>
      </c>
      <c r="G16" s="61"/>
      <c r="H16" s="62"/>
      <c r="I16" s="10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100" t="s">
        <v>5</v>
      </c>
      <c r="B19" s="100"/>
      <c r="C19" s="63" t="s">
        <v>115</v>
      </c>
      <c r="D19" s="64"/>
      <c r="E19" s="104"/>
      <c r="F19" s="105"/>
      <c r="G19" s="9" t="s">
        <v>76</v>
      </c>
      <c r="H19" s="30"/>
      <c r="I19" s="56"/>
      <c r="J19" s="57"/>
      <c r="K19" s="56"/>
      <c r="L19" s="57"/>
    </row>
    <row r="20" spans="1:12" ht="20.149999999999999" customHeight="1" x14ac:dyDescent="0.75">
      <c r="A20" s="100" t="s">
        <v>6</v>
      </c>
      <c r="B20" s="100"/>
      <c r="C20" s="63" t="s">
        <v>114</v>
      </c>
      <c r="D20" s="64"/>
      <c r="E20" s="104"/>
      <c r="F20" s="105"/>
      <c r="G20" s="9" t="s">
        <v>77</v>
      </c>
      <c r="H20" s="30"/>
      <c r="I20" s="56"/>
      <c r="J20" s="57"/>
      <c r="K20" s="56"/>
      <c r="L20" s="57"/>
    </row>
    <row r="21" spans="1:12" ht="20.149999999999999" customHeight="1" x14ac:dyDescent="0.75">
      <c r="A21" s="100" t="s">
        <v>7</v>
      </c>
      <c r="B21" s="100"/>
      <c r="C21" s="63" t="s">
        <v>113</v>
      </c>
      <c r="D21" s="64"/>
      <c r="E21" s="104"/>
      <c r="F21" s="105"/>
      <c r="G21" s="9" t="s">
        <v>78</v>
      </c>
      <c r="H21" s="30"/>
      <c r="I21" s="56"/>
      <c r="J21" s="57"/>
      <c r="K21" s="56"/>
      <c r="L21" s="57"/>
    </row>
    <row r="22" spans="1:12" ht="20.149999999999999" customHeight="1" x14ac:dyDescent="0.75">
      <c r="A22" s="100" t="s">
        <v>8</v>
      </c>
      <c r="B22" s="100"/>
      <c r="C22" s="63" t="s">
        <v>112</v>
      </c>
      <c r="D22" s="64"/>
      <c r="E22" s="104"/>
      <c r="F22" s="105"/>
      <c r="G22" s="9" t="s">
        <v>79</v>
      </c>
      <c r="H22" s="30"/>
      <c r="I22" s="56"/>
      <c r="J22" s="57"/>
      <c r="K22" s="56"/>
      <c r="L22" s="57"/>
    </row>
    <row r="23" spans="1:12" ht="20.149999999999999" customHeight="1" x14ac:dyDescent="0.75">
      <c r="A23" s="100" t="s">
        <v>149</v>
      </c>
      <c r="B23" s="100"/>
      <c r="C23" s="63" t="s">
        <v>150</v>
      </c>
      <c r="D23" s="64"/>
      <c r="E23" s="104"/>
      <c r="F23" s="105"/>
      <c r="G23" s="9" t="s">
        <v>80</v>
      </c>
      <c r="H23" s="30"/>
      <c r="I23" s="56"/>
      <c r="J23" s="57"/>
      <c r="K23" s="56"/>
      <c r="L23" s="57"/>
    </row>
    <row r="24" spans="1:12" ht="20.149999999999999" customHeight="1" x14ac:dyDescent="0.75">
      <c r="A24" s="100" t="str">
        <f>(IF(E7="NATURAL","",E7))</f>
        <v>BLUE TINT</v>
      </c>
      <c r="B24" s="100"/>
      <c r="C24" s="12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BT</v>
      </c>
      <c r="D24" s="121"/>
      <c r="E24" s="104"/>
      <c r="F24" s="105"/>
      <c r="G24" s="9" t="s">
        <v>81</v>
      </c>
      <c r="H24" s="30"/>
      <c r="I24" s="56"/>
      <c r="J24" s="57"/>
      <c r="K24" s="56"/>
      <c r="L24" s="57"/>
    </row>
    <row r="25" spans="1:12" ht="20.149999999999999" customHeight="1" x14ac:dyDescent="0.75">
      <c r="A25" s="49" t="s">
        <v>164</v>
      </c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>CI</v>
      </c>
      <c r="D25" s="64"/>
      <c r="E25" s="104"/>
      <c r="F25" s="105"/>
      <c r="G25" s="9" t="s">
        <v>82</v>
      </c>
      <c r="H25" s="30"/>
      <c r="I25" s="56"/>
      <c r="J25" s="57"/>
      <c r="K25" s="56"/>
      <c r="L25" s="57"/>
    </row>
    <row r="26" spans="1:12" ht="20.149999999999999" customHeight="1" x14ac:dyDescent="0.7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49999999999999" customHeight="1" x14ac:dyDescent="0.7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168</v>
      </c>
      <c r="C28" s="6"/>
      <c r="D28" s="22">
        <v>24.4</v>
      </c>
      <c r="E28" s="44">
        <v>2.2999999999999998</v>
      </c>
      <c r="F28" s="6"/>
      <c r="G28" s="45"/>
      <c r="H28" s="45"/>
      <c r="I28" s="45"/>
      <c r="J28" s="4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49999999999999" customHeight="1" x14ac:dyDescent="0.7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19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49999999999999" customHeight="1" x14ac:dyDescent="0.7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49999999999999" customHeight="1" x14ac:dyDescent="0.7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45905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45895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21360CB-F4D8-4F38-AEDB-AD09097900B6}"/>
</file>

<file path=customXml/itemProps2.xml><?xml version="1.0" encoding="utf-8"?>
<ds:datastoreItem xmlns:ds="http://schemas.openxmlformats.org/officeDocument/2006/customXml" ds:itemID="{D278A8D0-8904-4009-BBFC-F3E4546B931B}"/>
</file>

<file path=customXml/itemProps3.xml><?xml version="1.0" encoding="utf-8"?>
<ds:datastoreItem xmlns:ds="http://schemas.openxmlformats.org/officeDocument/2006/customXml" ds:itemID="{C03289BE-CFEF-41AA-946E-808D356758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2025-08-05T01:15:57Z</cp:lastPrinted>
  <dcterms:created xsi:type="dcterms:W3CDTF">2019-11-27T23:28:06Z</dcterms:created>
  <dcterms:modified xsi:type="dcterms:W3CDTF">2025-08-11T23:51:11Z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